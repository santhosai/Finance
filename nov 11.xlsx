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9ae13527d7c72d/Desktop/Cheetu Folders/"/>
    </mc:Choice>
  </mc:AlternateContent>
  <xr:revisionPtr revIDLastSave="5" documentId="8_{D21FD403-4714-4E0B-B765-8569EEFC2AB7}" xr6:coauthVersionLast="47" xr6:coauthVersionMax="47" xr10:uidLastSave="{5AA2C1B6-26E3-499D-9DCE-57B8485DB02C}"/>
  <bookViews>
    <workbookView xWindow="-108" yWindow="-108" windowWidth="23256" windowHeight="12456" activeTab="2" xr2:uid="{400186C6-D5CF-4C92-B647-CF5C969E73F8}"/>
  </bookViews>
  <sheets>
    <sheet name="Monthly Finance " sheetId="5" r:id="rId1"/>
    <sheet name="Vaadi List" sheetId="4" r:id="rId2"/>
    <sheet name="Finance" sheetId="3" r:id="rId3"/>
  </sheets>
  <definedNames>
    <definedName name="_xlnm._FilterDatabase" localSheetId="2" hidden="1">Finance!$F$1:$F$361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5" i="3" l="1"/>
  <c r="D355" i="3" s="1"/>
  <c r="F353" i="3"/>
  <c r="D353" i="3" s="1"/>
  <c r="F347" i="3"/>
  <c r="D347" i="3" s="1"/>
  <c r="F345" i="3"/>
  <c r="D345" i="3" s="1"/>
  <c r="F339" i="3"/>
  <c r="D339" i="3" s="1"/>
  <c r="F337" i="3"/>
  <c r="D337" i="3" s="1"/>
  <c r="G361" i="3"/>
  <c r="G360" i="3"/>
  <c r="F360" i="3" s="1"/>
  <c r="G359" i="3"/>
  <c r="F359" i="3" s="1"/>
  <c r="G358" i="3"/>
  <c r="F358" i="3" s="1"/>
  <c r="G357" i="3"/>
  <c r="F357" i="3" s="1"/>
  <c r="D357" i="3" s="1"/>
  <c r="G356" i="3"/>
  <c r="F356" i="3" s="1"/>
  <c r="D356" i="3" s="1"/>
  <c r="G355" i="3"/>
  <c r="G354" i="3"/>
  <c r="F354" i="3" s="1"/>
  <c r="D354" i="3" s="1"/>
  <c r="G353" i="3"/>
  <c r="G352" i="3"/>
  <c r="F352" i="3" s="1"/>
  <c r="D352" i="3" s="1"/>
  <c r="G351" i="3"/>
  <c r="F351" i="3" s="1"/>
  <c r="D351" i="3" s="1"/>
  <c r="G350" i="3"/>
  <c r="F350" i="3" s="1"/>
  <c r="D350" i="3" s="1"/>
  <c r="G349" i="3"/>
  <c r="F349" i="3" s="1"/>
  <c r="D349" i="3" s="1"/>
  <c r="G348" i="3"/>
  <c r="F348" i="3" s="1"/>
  <c r="D348" i="3" s="1"/>
  <c r="G347" i="3"/>
  <c r="G346" i="3"/>
  <c r="F346" i="3" s="1"/>
  <c r="D346" i="3" s="1"/>
  <c r="G345" i="3"/>
  <c r="G344" i="3"/>
  <c r="F344" i="3" s="1"/>
  <c r="D344" i="3" s="1"/>
  <c r="G343" i="3"/>
  <c r="F343" i="3" s="1"/>
  <c r="D343" i="3" s="1"/>
  <c r="G342" i="3"/>
  <c r="F342" i="3" s="1"/>
  <c r="D342" i="3" s="1"/>
  <c r="G341" i="3"/>
  <c r="F341" i="3" s="1"/>
  <c r="D341" i="3" s="1"/>
  <c r="G340" i="3"/>
  <c r="F340" i="3" s="1"/>
  <c r="D340" i="3" s="1"/>
  <c r="G339" i="3"/>
  <c r="G338" i="3"/>
  <c r="F338" i="3" s="1"/>
  <c r="D338" i="3" s="1"/>
  <c r="G337" i="3"/>
  <c r="G334" i="3"/>
  <c r="G333" i="3"/>
  <c r="F333" i="3" s="1"/>
  <c r="D333" i="3" s="1"/>
  <c r="G320" i="3"/>
  <c r="G319" i="3"/>
  <c r="G318" i="3"/>
  <c r="F318" i="3" s="1"/>
  <c r="D318" i="3" s="1"/>
  <c r="G317" i="3"/>
  <c r="F317" i="3" s="1"/>
  <c r="D317" i="3" s="1"/>
  <c r="G316" i="3"/>
  <c r="F316" i="3" s="1"/>
  <c r="D316" i="3" s="1"/>
  <c r="G305" i="3"/>
  <c r="G304" i="3"/>
  <c r="F304" i="3" s="1"/>
  <c r="D304" i="3" s="1"/>
  <c r="G303" i="3"/>
  <c r="G300" i="3"/>
  <c r="G293" i="3"/>
  <c r="G292" i="3"/>
  <c r="F292" i="3" s="1"/>
  <c r="D292" i="3" s="1"/>
  <c r="G291" i="3"/>
  <c r="F291" i="3" s="1"/>
  <c r="D291" i="3" s="1"/>
  <c r="G286" i="3"/>
  <c r="F286" i="3" s="1"/>
  <c r="G277" i="3"/>
  <c r="F277" i="3" s="1"/>
  <c r="D277" i="3" s="1"/>
  <c r="G276" i="3"/>
  <c r="F276" i="3" s="1"/>
  <c r="D276" i="3" s="1"/>
  <c r="G275" i="3"/>
  <c r="G274" i="3"/>
  <c r="G273" i="3"/>
  <c r="G272" i="3"/>
  <c r="G271" i="3"/>
  <c r="G268" i="3"/>
  <c r="F268" i="3" s="1"/>
  <c r="G267" i="3"/>
  <c r="G266" i="3"/>
  <c r="F266" i="3" s="1"/>
  <c r="D266" i="3" s="1"/>
  <c r="G265" i="3"/>
  <c r="G257" i="3"/>
  <c r="F336" i="3"/>
  <c r="F335" i="3"/>
  <c r="F334" i="3"/>
  <c r="D334" i="3" s="1"/>
  <c r="G332" i="3"/>
  <c r="F332" i="3" s="1"/>
  <c r="D332" i="3" s="1"/>
  <c r="G331" i="3"/>
  <c r="F331" i="3" s="1"/>
  <c r="D331" i="3" s="1"/>
  <c r="G330" i="3"/>
  <c r="F330" i="3" s="1"/>
  <c r="D330" i="3" s="1"/>
  <c r="G329" i="3"/>
  <c r="F329" i="3" s="1"/>
  <c r="D329" i="3" s="1"/>
  <c r="G328" i="3"/>
  <c r="F328" i="3" s="1"/>
  <c r="D328" i="3" s="1"/>
  <c r="G327" i="3"/>
  <c r="F327" i="3" s="1"/>
  <c r="D327" i="3" s="1"/>
  <c r="G326" i="3"/>
  <c r="F326" i="3" s="1"/>
  <c r="D326" i="3" s="1"/>
  <c r="G325" i="3"/>
  <c r="F325" i="3" s="1"/>
  <c r="D325" i="3" s="1"/>
  <c r="G324" i="3"/>
  <c r="F324" i="3" s="1"/>
  <c r="D324" i="3" s="1"/>
  <c r="G323" i="3"/>
  <c r="F323" i="3" s="1"/>
  <c r="D323" i="3" s="1"/>
  <c r="G322" i="3"/>
  <c r="G321" i="3"/>
  <c r="F321" i="3" s="1"/>
  <c r="D321" i="3" s="1"/>
  <c r="F319" i="3"/>
  <c r="D319" i="3" s="1"/>
  <c r="F305" i="3"/>
  <c r="D305" i="3" s="1"/>
  <c r="F303" i="3"/>
  <c r="D303" i="3" s="1"/>
  <c r="F300" i="3"/>
  <c r="D300" i="3" s="1"/>
  <c r="F293" i="3"/>
  <c r="D293" i="3" s="1"/>
  <c r="F322" i="3"/>
  <c r="D322" i="3" s="1"/>
  <c r="F306" i="3"/>
  <c r="D306" i="3" s="1"/>
  <c r="F307" i="3"/>
  <c r="D307" i="3" s="1"/>
  <c r="F308" i="3"/>
  <c r="D308" i="3" s="1"/>
  <c r="F309" i="3"/>
  <c r="D309" i="3" s="1"/>
  <c r="F310" i="3"/>
  <c r="D310" i="3" s="1"/>
  <c r="F311" i="3"/>
  <c r="D311" i="3" s="1"/>
  <c r="F312" i="3"/>
  <c r="D312" i="3" s="1"/>
  <c r="F313" i="3"/>
  <c r="D313" i="3" s="1"/>
  <c r="F314" i="3"/>
  <c r="D314" i="3" s="1"/>
  <c r="F315" i="3"/>
  <c r="D315" i="3" s="1"/>
  <c r="F302" i="3"/>
  <c r="D302" i="3" s="1"/>
  <c r="F301" i="3"/>
  <c r="D301" i="3" s="1"/>
  <c r="F299" i="3"/>
  <c r="D299" i="3" s="1"/>
  <c r="F298" i="3"/>
  <c r="D298" i="3" s="1"/>
  <c r="F297" i="3"/>
  <c r="D297" i="3" s="1"/>
  <c r="F296" i="3"/>
  <c r="D296" i="3" s="1"/>
  <c r="F295" i="3"/>
  <c r="D295" i="3" s="1"/>
  <c r="F294" i="3"/>
  <c r="D294" i="3" s="1"/>
  <c r="G290" i="3"/>
  <c r="F290" i="3" s="1"/>
  <c r="D290" i="3" s="1"/>
  <c r="G289" i="3"/>
  <c r="F289" i="3" s="1"/>
  <c r="D289" i="3" s="1"/>
  <c r="G288" i="3"/>
  <c r="F288" i="3" s="1"/>
  <c r="D288" i="3" s="1"/>
  <c r="G287" i="3"/>
  <c r="F287" i="3" s="1"/>
  <c r="D287" i="3" s="1"/>
  <c r="G278" i="3"/>
  <c r="F278" i="3" s="1"/>
  <c r="D278" i="3" s="1"/>
  <c r="G279" i="3"/>
  <c r="F279" i="3" s="1"/>
  <c r="D279" i="3" s="1"/>
  <c r="G280" i="3"/>
  <c r="F280" i="3" s="1"/>
  <c r="D280" i="3" s="1"/>
  <c r="G281" i="3"/>
  <c r="F281" i="3" s="1"/>
  <c r="D281" i="3" s="1"/>
  <c r="G282" i="3"/>
  <c r="F282" i="3" s="1"/>
  <c r="D282" i="3" s="1"/>
  <c r="G283" i="3"/>
  <c r="F283" i="3" s="1"/>
  <c r="D283" i="3" s="1"/>
  <c r="G284" i="3"/>
  <c r="F284" i="3" s="1"/>
  <c r="D284" i="3" s="1"/>
  <c r="G285" i="3"/>
  <c r="F285" i="3" s="1"/>
  <c r="D285" i="3" s="1"/>
  <c r="F273" i="3"/>
  <c r="D273" i="3" s="1"/>
  <c r="F274" i="3"/>
  <c r="D274" i="3" s="1"/>
  <c r="F275" i="3"/>
  <c r="D275" i="3" s="1"/>
  <c r="F267" i="3"/>
  <c r="D267" i="3" s="1"/>
  <c r="G269" i="3"/>
  <c r="F269" i="3" s="1"/>
  <c r="G270" i="3"/>
  <c r="F270" i="3" s="1"/>
  <c r="G255" i="3"/>
  <c r="F255" i="3" s="1"/>
  <c r="D255" i="3" s="1"/>
  <c r="G256" i="3"/>
  <c r="F256" i="3" s="1"/>
  <c r="D256" i="3" s="1"/>
  <c r="F257" i="3"/>
  <c r="G258" i="3"/>
  <c r="G259" i="3"/>
  <c r="F259" i="3" s="1"/>
  <c r="D259" i="3" s="1"/>
  <c r="G260" i="3"/>
  <c r="F260" i="3" s="1"/>
  <c r="G261" i="3"/>
  <c r="F261" i="3" s="1"/>
  <c r="G262" i="3"/>
  <c r="F262" i="3" s="1"/>
  <c r="G263" i="3"/>
  <c r="G264" i="3"/>
  <c r="F265" i="3"/>
  <c r="G254" i="3"/>
  <c r="G253" i="3"/>
  <c r="G252" i="3"/>
  <c r="G251" i="3"/>
  <c r="F251" i="3" s="1"/>
  <c r="G250" i="3"/>
  <c r="F250" i="3" s="1"/>
  <c r="D250" i="3" s="1"/>
  <c r="G249" i="3"/>
  <c r="F249" i="3" s="1"/>
  <c r="D249" i="3" s="1"/>
  <c r="G248" i="3"/>
  <c r="F248" i="3" s="1"/>
  <c r="D248" i="3" s="1"/>
  <c r="G247" i="3"/>
  <c r="F247" i="3" s="1"/>
  <c r="D247" i="3" s="1"/>
  <c r="G246" i="3"/>
  <c r="F246" i="3" s="1"/>
  <c r="D246" i="3" s="1"/>
  <c r="G245" i="3"/>
  <c r="F245" i="3" s="1"/>
  <c r="D245" i="3" s="1"/>
  <c r="G244" i="3"/>
  <c r="F244" i="3" s="1"/>
  <c r="D244" i="3" s="1"/>
  <c r="G243" i="3"/>
  <c r="F243" i="3" s="1"/>
  <c r="G242" i="3"/>
  <c r="F242" i="3" s="1"/>
  <c r="D242" i="3" s="1"/>
  <c r="G241" i="3"/>
  <c r="F241" i="3" s="1"/>
  <c r="D241" i="3" s="1"/>
  <c r="G240" i="3"/>
  <c r="F240" i="3" s="1"/>
  <c r="D240" i="3" s="1"/>
  <c r="G239" i="3"/>
  <c r="F239" i="3" s="1"/>
  <c r="D239" i="3" s="1"/>
  <c r="G238" i="3"/>
  <c r="F238" i="3" s="1"/>
  <c r="D238" i="3" s="1"/>
  <c r="G237" i="3"/>
  <c r="F237" i="3" s="1"/>
  <c r="D237" i="3" s="1"/>
  <c r="G236" i="3"/>
  <c r="F236" i="3" s="1"/>
  <c r="D236" i="3" s="1"/>
  <c r="G235" i="3"/>
  <c r="F235" i="3" s="1"/>
  <c r="G234" i="3"/>
  <c r="F234" i="3" s="1"/>
  <c r="D234" i="3" s="1"/>
  <c r="G233" i="3"/>
  <c r="F233" i="3" s="1"/>
  <c r="D233" i="3" s="1"/>
  <c r="G232" i="3"/>
  <c r="F232" i="3" s="1"/>
  <c r="D232" i="3" s="1"/>
  <c r="G231" i="3"/>
  <c r="F231" i="3" s="1"/>
  <c r="D231" i="3" s="1"/>
  <c r="G230" i="3"/>
  <c r="F230" i="3" s="1"/>
  <c r="D230" i="3" s="1"/>
  <c r="G229" i="3"/>
  <c r="F229" i="3" s="1"/>
  <c r="D229" i="3" s="1"/>
  <c r="G228" i="3"/>
  <c r="F228" i="3" s="1"/>
  <c r="D228" i="3" s="1"/>
  <c r="G227" i="3"/>
  <c r="F227" i="3" s="1"/>
  <c r="G226" i="3"/>
  <c r="F226" i="3" s="1"/>
  <c r="D226" i="3" s="1"/>
  <c r="G223" i="3"/>
  <c r="F223" i="3" s="1"/>
  <c r="D223" i="3" s="1"/>
  <c r="G222" i="3"/>
  <c r="F222" i="3" s="1"/>
  <c r="D222" i="3" s="1"/>
  <c r="G152" i="3"/>
  <c r="F152" i="3" s="1"/>
  <c r="D152" i="3" s="1"/>
  <c r="G225" i="3"/>
  <c r="F225" i="3" s="1"/>
  <c r="D225" i="3" s="1"/>
  <c r="G224" i="3"/>
  <c r="F224" i="3" s="1"/>
  <c r="D224" i="3" s="1"/>
  <c r="G219" i="3"/>
  <c r="F219" i="3" s="1"/>
  <c r="G218" i="3"/>
  <c r="F218" i="3" s="1"/>
  <c r="G217" i="3"/>
  <c r="F217" i="3" s="1"/>
  <c r="G216" i="3"/>
  <c r="F216" i="3" s="1"/>
  <c r="G215" i="3"/>
  <c r="F215" i="3" s="1"/>
  <c r="G214" i="3"/>
  <c r="F214" i="3" s="1"/>
  <c r="D214" i="3" s="1"/>
  <c r="G211" i="3"/>
  <c r="F211" i="3" s="1"/>
  <c r="D211" i="3" s="1"/>
  <c r="G206" i="3"/>
  <c r="F206" i="3" s="1"/>
  <c r="G220" i="3"/>
  <c r="F220" i="3" s="1"/>
  <c r="G221" i="3"/>
  <c r="F221" i="3" s="1"/>
  <c r="D221" i="3" s="1"/>
  <c r="G202" i="3"/>
  <c r="F202" i="3" s="1"/>
  <c r="D202" i="3" s="1"/>
  <c r="I7" i="5"/>
  <c r="J7" i="5" s="1"/>
  <c r="G213" i="3"/>
  <c r="F213" i="3" s="1"/>
  <c r="D213" i="3" s="1"/>
  <c r="G212" i="3"/>
  <c r="F212" i="3" s="1"/>
  <c r="G210" i="3"/>
  <c r="F210" i="3" s="1"/>
  <c r="G209" i="3"/>
  <c r="F209" i="3" s="1"/>
  <c r="G208" i="3"/>
  <c r="F208" i="3" s="1"/>
  <c r="G207" i="3"/>
  <c r="F207" i="3" s="1"/>
  <c r="G201" i="3"/>
  <c r="F201" i="3" s="1"/>
  <c r="D201" i="3" s="1"/>
  <c r="G157" i="3"/>
  <c r="F157" i="3" s="1"/>
  <c r="D157" i="3" s="1"/>
  <c r="G200" i="3"/>
  <c r="F200" i="3" s="1"/>
  <c r="D200" i="3" s="1"/>
  <c r="G198" i="3"/>
  <c r="F198" i="3" s="1"/>
  <c r="I5" i="5"/>
  <c r="J5" i="5" s="1"/>
  <c r="I6" i="5"/>
  <c r="J6" i="5" s="1"/>
  <c r="I4" i="5"/>
  <c r="J4" i="5" s="1"/>
  <c r="B10" i="4"/>
  <c r="G205" i="3"/>
  <c r="F205" i="3" s="1"/>
  <c r="D205" i="3" s="1"/>
  <c r="G204" i="3"/>
  <c r="F204" i="3" s="1"/>
  <c r="D204" i="3" s="1"/>
  <c r="G203" i="3"/>
  <c r="F203" i="3" s="1"/>
  <c r="D203" i="3" s="1"/>
  <c r="G199" i="3"/>
  <c r="F199" i="3" s="1"/>
  <c r="D199" i="3" s="1"/>
  <c r="G197" i="3"/>
  <c r="F197" i="3" s="1"/>
  <c r="G196" i="3"/>
  <c r="F196" i="3" s="1"/>
  <c r="G195" i="3"/>
  <c r="F195" i="3" s="1"/>
  <c r="D195" i="3" s="1"/>
  <c r="G194" i="3"/>
  <c r="F194" i="3" s="1"/>
  <c r="G193" i="3"/>
  <c r="F193" i="3" s="1"/>
  <c r="G192" i="3"/>
  <c r="F192" i="3" s="1"/>
  <c r="G191" i="3"/>
  <c r="F191" i="3" s="1"/>
  <c r="G190" i="3"/>
  <c r="F190" i="3" s="1"/>
  <c r="G189" i="3"/>
  <c r="F189" i="3" s="1"/>
  <c r="G188" i="3"/>
  <c r="F188" i="3" s="1"/>
  <c r="G187" i="3"/>
  <c r="F187" i="3" s="1"/>
  <c r="G186" i="3"/>
  <c r="F186" i="3" s="1"/>
  <c r="G185" i="3"/>
  <c r="F185" i="3" s="1"/>
  <c r="G184" i="3"/>
  <c r="F184" i="3" s="1"/>
  <c r="G183" i="3"/>
  <c r="F183" i="3" s="1"/>
  <c r="G182" i="3"/>
  <c r="F182" i="3" s="1"/>
  <c r="G181" i="3"/>
  <c r="F181" i="3" s="1"/>
  <c r="G180" i="3"/>
  <c r="F180" i="3" s="1"/>
  <c r="G179" i="3"/>
  <c r="F179" i="3" s="1"/>
  <c r="G178" i="3"/>
  <c r="F178" i="3" s="1"/>
  <c r="G177" i="3"/>
  <c r="F177" i="3" s="1"/>
  <c r="G176" i="3"/>
  <c r="F176" i="3" s="1"/>
  <c r="G175" i="3"/>
  <c r="F175" i="3" s="1"/>
  <c r="G174" i="3"/>
  <c r="F174" i="3" s="1"/>
  <c r="G173" i="3"/>
  <c r="F173" i="3" s="1"/>
  <c r="G172" i="3"/>
  <c r="F172" i="3" s="1"/>
  <c r="G171" i="3"/>
  <c r="F171" i="3" s="1"/>
  <c r="G170" i="3"/>
  <c r="F170" i="3" s="1"/>
  <c r="G169" i="3"/>
  <c r="F169" i="3" s="1"/>
  <c r="G168" i="3"/>
  <c r="F168" i="3" s="1"/>
  <c r="G167" i="3"/>
  <c r="F167" i="3" s="1"/>
  <c r="D167" i="3" s="1"/>
  <c r="G166" i="3"/>
  <c r="F166" i="3" s="1"/>
  <c r="D166" i="3" s="1"/>
  <c r="G165" i="3"/>
  <c r="F165" i="3" s="1"/>
  <c r="D165" i="3" s="1"/>
  <c r="G164" i="3"/>
  <c r="F164" i="3" s="1"/>
  <c r="D164" i="3" s="1"/>
  <c r="G163" i="3"/>
  <c r="F163" i="3" s="1"/>
  <c r="D163" i="3" s="1"/>
  <c r="G162" i="3"/>
  <c r="F162" i="3" s="1"/>
  <c r="D162" i="3" s="1"/>
  <c r="G161" i="3"/>
  <c r="F161" i="3" s="1"/>
  <c r="D161" i="3" s="1"/>
  <c r="G160" i="3"/>
  <c r="F160" i="3" s="1"/>
  <c r="D160" i="3" s="1"/>
  <c r="G159" i="3"/>
  <c r="F159" i="3" s="1"/>
  <c r="D159" i="3" s="1"/>
  <c r="G158" i="3"/>
  <c r="F158" i="3" s="1"/>
  <c r="D158" i="3" s="1"/>
  <c r="G156" i="3"/>
  <c r="F156" i="3" s="1"/>
  <c r="D156" i="3" s="1"/>
  <c r="G155" i="3"/>
  <c r="F155" i="3" s="1"/>
  <c r="D155" i="3" s="1"/>
  <c r="G154" i="3"/>
  <c r="F154" i="3" s="1"/>
  <c r="D154" i="3" s="1"/>
  <c r="G153" i="3"/>
  <c r="F153" i="3" s="1"/>
  <c r="D153" i="3" s="1"/>
  <c r="G151" i="3"/>
  <c r="F151" i="3" s="1"/>
  <c r="D151" i="3" s="1"/>
  <c r="G150" i="3"/>
  <c r="F150" i="3" s="1"/>
  <c r="D150" i="3" s="1"/>
  <c r="G149" i="3"/>
  <c r="F149" i="3" s="1"/>
  <c r="G148" i="3"/>
  <c r="F148" i="3" s="1"/>
  <c r="D148" i="3" s="1"/>
  <c r="G147" i="3"/>
  <c r="F147" i="3" s="1"/>
  <c r="D147" i="3" s="1"/>
  <c r="G146" i="3"/>
  <c r="F146" i="3" s="1"/>
  <c r="D146" i="3" s="1"/>
  <c r="G144" i="3"/>
  <c r="F144" i="3" s="1"/>
  <c r="G140" i="3"/>
  <c r="F140" i="3" s="1"/>
  <c r="G135" i="3"/>
  <c r="F135" i="3" s="1"/>
  <c r="G134" i="3"/>
  <c r="F134" i="3" s="1"/>
  <c r="G119" i="3"/>
  <c r="F119" i="3" s="1"/>
  <c r="G4" i="3"/>
  <c r="F4" i="3" s="1"/>
  <c r="G145" i="3"/>
  <c r="F145" i="3" s="1"/>
  <c r="D145" i="3" s="1"/>
  <c r="G141" i="3"/>
  <c r="F141" i="3" s="1"/>
  <c r="D141" i="3" s="1"/>
  <c r="G139" i="3"/>
  <c r="F139" i="3" s="1"/>
  <c r="D139" i="3" s="1"/>
  <c r="G138" i="3"/>
  <c r="F138" i="3" s="1"/>
  <c r="G137" i="3"/>
  <c r="F137" i="3" s="1"/>
  <c r="G136" i="3"/>
  <c r="F136" i="3" s="1"/>
  <c r="G133" i="3"/>
  <c r="F133" i="3" s="1"/>
  <c r="G132" i="3"/>
  <c r="F132" i="3" s="1"/>
  <c r="G68" i="3"/>
  <c r="F68" i="3" s="1"/>
  <c r="G67" i="3"/>
  <c r="F67" i="3" s="1"/>
  <c r="G51" i="3"/>
  <c r="F51" i="3" s="1"/>
  <c r="G50" i="3"/>
  <c r="F50" i="3" s="1"/>
  <c r="G37" i="3"/>
  <c r="F37" i="3" s="1"/>
  <c r="G36" i="3"/>
  <c r="F36" i="3" s="1"/>
  <c r="G28" i="3"/>
  <c r="G17" i="3"/>
  <c r="G35" i="3"/>
  <c r="F35" i="3" s="1"/>
  <c r="G142" i="3"/>
  <c r="F142" i="3" s="1"/>
  <c r="D142" i="3" s="1"/>
  <c r="G143" i="3"/>
  <c r="F143" i="3" s="1"/>
  <c r="D143" i="3" s="1"/>
  <c r="G38" i="3"/>
  <c r="G31" i="3"/>
  <c r="G30" i="3"/>
  <c r="G29" i="3"/>
  <c r="G27" i="3"/>
  <c r="G25" i="3"/>
  <c r="G24" i="3"/>
  <c r="G23" i="3"/>
  <c r="G20" i="3"/>
  <c r="F20" i="3" s="1"/>
  <c r="G15" i="3"/>
  <c r="F320" i="3" l="1"/>
  <c r="D320" i="3" s="1"/>
  <c r="D286" i="3"/>
  <c r="F272" i="3"/>
  <c r="D272" i="3" s="1"/>
  <c r="F271" i="3"/>
  <c r="D271" i="3" s="1"/>
  <c r="D268" i="3"/>
  <c r="F264" i="3"/>
  <c r="D264" i="3" s="1"/>
  <c r="F263" i="3"/>
  <c r="D263" i="3" s="1"/>
  <c r="D262" i="3"/>
  <c r="F258" i="3"/>
  <c r="D258" i="3" s="1"/>
  <c r="D257" i="3"/>
  <c r="F254" i="3"/>
  <c r="D254" i="3" s="1"/>
  <c r="F253" i="3"/>
  <c r="D253" i="3" s="1"/>
  <c r="F252" i="3"/>
  <c r="D252" i="3" s="1"/>
  <c r="D251" i="3"/>
  <c r="D243" i="3"/>
  <c r="D261" i="3"/>
  <c r="D260" i="3"/>
  <c r="D270" i="3"/>
  <c r="D265" i="3"/>
  <c r="D235" i="3"/>
  <c r="D269" i="3"/>
  <c r="D227" i="3"/>
  <c r="D220" i="3"/>
  <c r="D206" i="3"/>
  <c r="D215" i="3"/>
  <c r="D207" i="3"/>
  <c r="D216" i="3"/>
  <c r="D208" i="3"/>
  <c r="D217" i="3"/>
  <c r="D209" i="3"/>
  <c r="D210" i="3"/>
  <c r="D219" i="3"/>
  <c r="D218" i="3"/>
  <c r="D212" i="3"/>
  <c r="B11" i="4"/>
  <c r="D196" i="3"/>
  <c r="D198" i="3"/>
  <c r="D197" i="3"/>
  <c r="D149" i="3"/>
  <c r="D140" i="3"/>
  <c r="D144" i="3"/>
  <c r="D135" i="3"/>
  <c r="D133" i="3"/>
  <c r="D134" i="3"/>
  <c r="D138" i="3"/>
  <c r="D137" i="3"/>
  <c r="D136" i="3"/>
  <c r="G131" i="3"/>
  <c r="F131" i="3" s="1"/>
  <c r="D131" i="3" s="1"/>
  <c r="G130" i="3"/>
  <c r="F130" i="3" s="1"/>
  <c r="D130" i="3" s="1"/>
  <c r="G129" i="3"/>
  <c r="F129" i="3" s="1"/>
  <c r="D129" i="3" s="1"/>
  <c r="G128" i="3"/>
  <c r="F128" i="3" s="1"/>
  <c r="D128" i="3" s="1"/>
  <c r="G127" i="3"/>
  <c r="F127" i="3" s="1"/>
  <c r="D127" i="3" s="1"/>
  <c r="G126" i="3"/>
  <c r="F126" i="3" s="1"/>
  <c r="D126" i="3" s="1"/>
  <c r="G125" i="3"/>
  <c r="F125" i="3" s="1"/>
  <c r="D125" i="3" s="1"/>
  <c r="G124" i="3"/>
  <c r="F124" i="3" s="1"/>
  <c r="D124" i="3" s="1"/>
  <c r="G123" i="3"/>
  <c r="F123" i="3" s="1"/>
  <c r="D123" i="3" s="1"/>
  <c r="G122" i="3"/>
  <c r="F122" i="3" s="1"/>
  <c r="D122" i="3" s="1"/>
  <c r="G121" i="3"/>
  <c r="F121" i="3" s="1"/>
  <c r="D121" i="3" s="1"/>
  <c r="G120" i="3"/>
  <c r="F120" i="3" s="1"/>
  <c r="D120" i="3" s="1"/>
  <c r="D119" i="3"/>
  <c r="D68" i="3"/>
  <c r="D132" i="3"/>
  <c r="D67" i="3"/>
  <c r="G111" i="3"/>
  <c r="F111" i="3" s="1"/>
  <c r="G110" i="3"/>
  <c r="F110" i="3" s="1"/>
  <c r="G109" i="3"/>
  <c r="F109" i="3" s="1"/>
  <c r="G108" i="3"/>
  <c r="F108" i="3" s="1"/>
  <c r="G107" i="3"/>
  <c r="F107" i="3" s="1"/>
  <c r="G106" i="3"/>
  <c r="F106" i="3" s="1"/>
  <c r="G105" i="3"/>
  <c r="F105" i="3" s="1"/>
  <c r="G104" i="3"/>
  <c r="F104" i="3" s="1"/>
  <c r="G103" i="3"/>
  <c r="F103" i="3" s="1"/>
  <c r="G102" i="3"/>
  <c r="F102" i="3" s="1"/>
  <c r="G101" i="3"/>
  <c r="F101" i="3" s="1"/>
  <c r="G100" i="3"/>
  <c r="F100" i="3" s="1"/>
  <c r="G99" i="3"/>
  <c r="F99" i="3" s="1"/>
  <c r="G98" i="3"/>
  <c r="F98" i="3" s="1"/>
  <c r="G97" i="3"/>
  <c r="F97" i="3" s="1"/>
  <c r="G96" i="3"/>
  <c r="F96" i="3" s="1"/>
  <c r="G95" i="3"/>
  <c r="F95" i="3" s="1"/>
  <c r="G94" i="3"/>
  <c r="F94" i="3" s="1"/>
  <c r="G93" i="3"/>
  <c r="F93" i="3" s="1"/>
  <c r="G92" i="3"/>
  <c r="F92" i="3" s="1"/>
  <c r="G91" i="3"/>
  <c r="F91" i="3" s="1"/>
  <c r="G90" i="3"/>
  <c r="F90" i="3" s="1"/>
  <c r="G89" i="3"/>
  <c r="F89" i="3" s="1"/>
  <c r="G88" i="3"/>
  <c r="F88" i="3" s="1"/>
  <c r="G87" i="3"/>
  <c r="F87" i="3" s="1"/>
  <c r="G86" i="3"/>
  <c r="F86" i="3" s="1"/>
  <c r="G85" i="3"/>
  <c r="F85" i="3" s="1"/>
  <c r="G84" i="3"/>
  <c r="F84" i="3" s="1"/>
  <c r="G83" i="3"/>
  <c r="F83" i="3" s="1"/>
  <c r="G82" i="3"/>
  <c r="F82" i="3" s="1"/>
  <c r="G81" i="3"/>
  <c r="F81" i="3" s="1"/>
  <c r="G80" i="3"/>
  <c r="F80" i="3" s="1"/>
  <c r="G79" i="3"/>
  <c r="F79" i="3" s="1"/>
  <c r="G78" i="3"/>
  <c r="F78" i="3" s="1"/>
  <c r="G77" i="3"/>
  <c r="F77" i="3" s="1"/>
  <c r="G76" i="3"/>
  <c r="F76" i="3" s="1"/>
  <c r="G75" i="3"/>
  <c r="F75" i="3" s="1"/>
  <c r="G74" i="3"/>
  <c r="F74" i="3" s="1"/>
  <c r="G73" i="3"/>
  <c r="F73" i="3" s="1"/>
  <c r="G72" i="3"/>
  <c r="F72" i="3" s="1"/>
  <c r="G71" i="3"/>
  <c r="F71" i="3" s="1"/>
  <c r="G70" i="3"/>
  <c r="F70" i="3" s="1"/>
  <c r="G69" i="3"/>
  <c r="F69" i="3" s="1"/>
  <c r="D51" i="3"/>
  <c r="D50" i="3"/>
  <c r="F30" i="3"/>
  <c r="D30" i="3" s="1"/>
  <c r="F118" i="3"/>
  <c r="F117" i="3"/>
  <c r="F116" i="3"/>
  <c r="F115" i="3"/>
  <c r="F114" i="3"/>
  <c r="F113" i="3"/>
  <c r="F112" i="3"/>
  <c r="F38" i="3"/>
  <c r="D38" i="3" s="1"/>
  <c r="G66" i="3"/>
  <c r="F66" i="3" s="1"/>
  <c r="G65" i="3"/>
  <c r="F65" i="3" s="1"/>
  <c r="G64" i="3"/>
  <c r="F64" i="3" s="1"/>
  <c r="G63" i="3"/>
  <c r="F63" i="3" s="1"/>
  <c r="G62" i="3"/>
  <c r="F62" i="3" s="1"/>
  <c r="G61" i="3"/>
  <c r="F61" i="3" s="1"/>
  <c r="G60" i="3"/>
  <c r="F60" i="3" s="1"/>
  <c r="G59" i="3"/>
  <c r="F59" i="3" s="1"/>
  <c r="G58" i="3"/>
  <c r="F58" i="3" s="1"/>
  <c r="G57" i="3"/>
  <c r="F57" i="3" s="1"/>
  <c r="G56" i="3"/>
  <c r="F56" i="3" s="1"/>
  <c r="G55" i="3"/>
  <c r="F55" i="3" s="1"/>
  <c r="G54" i="3"/>
  <c r="F54" i="3" s="1"/>
  <c r="G53" i="3"/>
  <c r="F53" i="3" s="1"/>
  <c r="G52" i="3"/>
  <c r="F52" i="3" s="1"/>
  <c r="G48" i="3"/>
  <c r="F48" i="3" s="1"/>
  <c r="G47" i="3"/>
  <c r="F47" i="3" s="1"/>
  <c r="G46" i="3"/>
  <c r="F46" i="3" s="1"/>
  <c r="G45" i="3"/>
  <c r="F45" i="3" s="1"/>
  <c r="G44" i="3"/>
  <c r="F44" i="3" s="1"/>
  <c r="G43" i="3"/>
  <c r="F43" i="3" s="1"/>
  <c r="G42" i="3"/>
  <c r="F42" i="3" s="1"/>
  <c r="G41" i="3"/>
  <c r="F41" i="3" s="1"/>
  <c r="G40" i="3"/>
  <c r="F40" i="3" s="1"/>
  <c r="G39" i="3"/>
  <c r="F39" i="3" s="1"/>
  <c r="F49" i="3"/>
  <c r="F23" i="3"/>
  <c r="D23" i="3" s="1"/>
  <c r="F24" i="3"/>
  <c r="D24" i="3" s="1"/>
  <c r="F25" i="3"/>
  <c r="D25" i="3" s="1"/>
  <c r="G26" i="3"/>
  <c r="F26" i="3" s="1"/>
  <c r="F27" i="3"/>
  <c r="D27" i="3" s="1"/>
  <c r="F28" i="3"/>
  <c r="D28" i="3" s="1"/>
  <c r="F29" i="3"/>
  <c r="D29" i="3" s="1"/>
  <c r="F31" i="3"/>
  <c r="D31" i="3" s="1"/>
  <c r="G32" i="3"/>
  <c r="F32" i="3" s="1"/>
  <c r="G33" i="3"/>
  <c r="F33" i="3" s="1"/>
  <c r="G34" i="3"/>
  <c r="F34" i="3" s="1"/>
  <c r="G21" i="3"/>
  <c r="F21" i="3" s="1"/>
  <c r="G22" i="3"/>
  <c r="F22" i="3" s="1"/>
  <c r="G19" i="3"/>
  <c r="F19" i="3" s="1"/>
  <c r="D19" i="3" s="1"/>
  <c r="D20" i="3"/>
  <c r="G14" i="3"/>
  <c r="F14" i="3" s="1"/>
  <c r="D14" i="3" s="1"/>
  <c r="F15" i="3"/>
  <c r="D15" i="3" s="1"/>
  <c r="G16" i="3"/>
  <c r="F16" i="3" s="1"/>
  <c r="F17" i="3"/>
  <c r="D17" i="3" s="1"/>
  <c r="G18" i="3"/>
  <c r="F18" i="3" s="1"/>
  <c r="D18" i="3" s="1"/>
  <c r="G6" i="3"/>
  <c r="F6" i="3" s="1"/>
  <c r="G7" i="3"/>
  <c r="F7" i="3" s="1"/>
  <c r="G8" i="3"/>
  <c r="F8" i="3" s="1"/>
  <c r="G9" i="3"/>
  <c r="F9" i="3" s="1"/>
  <c r="G10" i="3"/>
  <c r="F10" i="3" s="1"/>
  <c r="G11" i="3"/>
  <c r="F11" i="3" s="1"/>
  <c r="G12" i="3"/>
  <c r="F12" i="3" s="1"/>
  <c r="G13" i="3"/>
  <c r="F13" i="3" s="1"/>
  <c r="G5" i="3"/>
  <c r="F5" i="3" s="1"/>
  <c r="D5" i="3" s="1"/>
  <c r="B9" i="4" l="1"/>
  <c r="B12" i="4" s="1"/>
  <c r="D4" i="3"/>
  <c r="D36" i="3"/>
  <c r="D35" i="3"/>
  <c r="D37" i="3"/>
</calcChain>
</file>

<file path=xl/sharedStrings.xml><?xml version="1.0" encoding="utf-8"?>
<sst xmlns="http://schemas.openxmlformats.org/spreadsheetml/2006/main" count="192" uniqueCount="127">
  <si>
    <t>Names</t>
  </si>
  <si>
    <t>Amma</t>
  </si>
  <si>
    <t>Govind Raj</t>
  </si>
  <si>
    <t>Karthi</t>
  </si>
  <si>
    <t>Vallarasu</t>
  </si>
  <si>
    <t>Mugilan</t>
  </si>
  <si>
    <t>Bensan Babu</t>
  </si>
  <si>
    <t xml:space="preserve">Vaadi List </t>
  </si>
  <si>
    <t>Date</t>
  </si>
  <si>
    <t xml:space="preserve">Date Given </t>
  </si>
  <si>
    <t>Finance Total</t>
  </si>
  <si>
    <t>Vaddi Total</t>
  </si>
  <si>
    <t>Total</t>
  </si>
  <si>
    <t xml:space="preserve">Balance Amount </t>
  </si>
  <si>
    <t xml:space="preserve">Amount Paid </t>
  </si>
  <si>
    <t>appu pulsar</t>
  </si>
  <si>
    <t>Selvarassan</t>
  </si>
  <si>
    <t>Honest</t>
  </si>
  <si>
    <t>Appu</t>
  </si>
  <si>
    <t>Hari Fruits</t>
  </si>
  <si>
    <t>Vijay Kirak</t>
  </si>
  <si>
    <t xml:space="preserve">Jagan Friend </t>
  </si>
  <si>
    <t>Kombhu</t>
  </si>
  <si>
    <t>Subash Poo Kadai</t>
  </si>
  <si>
    <t>Vinith Peddur</t>
  </si>
  <si>
    <t>Jagan</t>
  </si>
  <si>
    <t>Magesh akka</t>
  </si>
  <si>
    <t xml:space="preserve">Sathish Tailor Friend </t>
  </si>
  <si>
    <t xml:space="preserve">Sandhiya </t>
  </si>
  <si>
    <t xml:space="preserve">Kadhir anna </t>
  </si>
  <si>
    <t>Mahi mama</t>
  </si>
  <si>
    <t xml:space="preserve">Chicken shop </t>
  </si>
  <si>
    <t xml:space="preserve">Naveen </t>
  </si>
  <si>
    <t>Vicky</t>
  </si>
  <si>
    <t>Moorthy</t>
  </si>
  <si>
    <t>Kalaiyarasan</t>
  </si>
  <si>
    <t xml:space="preserve">Vinith </t>
  </si>
  <si>
    <t>Poo Kadai</t>
  </si>
  <si>
    <t>Balance Weeks</t>
  </si>
  <si>
    <t xml:space="preserve">Selvarsan </t>
  </si>
  <si>
    <t>Govindaraj</t>
  </si>
  <si>
    <t xml:space="preserve">Thakali </t>
  </si>
  <si>
    <t>busstand</t>
  </si>
  <si>
    <t>Pugal alangayam finance</t>
  </si>
  <si>
    <t>Jaga Tiles</t>
  </si>
  <si>
    <t xml:space="preserve">surender police </t>
  </si>
  <si>
    <t xml:space="preserve">Name  </t>
  </si>
  <si>
    <t>Amount</t>
  </si>
  <si>
    <t xml:space="preserve"> Amount Given</t>
  </si>
  <si>
    <t xml:space="preserve">Sathish Taior </t>
  </si>
  <si>
    <t>Sandhiya</t>
  </si>
  <si>
    <t>Sarathy</t>
  </si>
  <si>
    <t xml:space="preserve">Date </t>
  </si>
  <si>
    <t>Viji Kirak</t>
  </si>
  <si>
    <t xml:space="preserve">kalaiarasi </t>
  </si>
  <si>
    <t>selvarasan</t>
  </si>
  <si>
    <t>Vengayam</t>
  </si>
  <si>
    <t>Appu Andi</t>
  </si>
  <si>
    <t>Sham santh</t>
  </si>
  <si>
    <t xml:space="preserve">Appu Friend </t>
  </si>
  <si>
    <t>vinith kumar</t>
  </si>
  <si>
    <t>Magesh akkka</t>
  </si>
  <si>
    <t>Govindraj</t>
  </si>
  <si>
    <t xml:space="preserve">monthly finance </t>
  </si>
  <si>
    <t xml:space="preserve">Paid </t>
  </si>
  <si>
    <t>Balance</t>
  </si>
  <si>
    <t>sathish Tailor</t>
  </si>
  <si>
    <t>Selvarasan</t>
  </si>
  <si>
    <t>Viji Bike</t>
  </si>
  <si>
    <t>Seeni suda</t>
  </si>
  <si>
    <t>Magesh vimal</t>
  </si>
  <si>
    <t>Vinith</t>
  </si>
  <si>
    <t>Kirak</t>
  </si>
  <si>
    <t>Karthick</t>
  </si>
  <si>
    <t>Dec</t>
  </si>
  <si>
    <t>Nov</t>
  </si>
  <si>
    <t>Jan</t>
  </si>
  <si>
    <t>Feb</t>
  </si>
  <si>
    <t>March</t>
  </si>
  <si>
    <t>Sathish Tailor</t>
  </si>
  <si>
    <t>AVC</t>
  </si>
  <si>
    <t xml:space="preserve">Appu Andi </t>
  </si>
  <si>
    <t xml:space="preserve">Mugilan </t>
  </si>
  <si>
    <t xml:space="preserve">Sarathi </t>
  </si>
  <si>
    <t>Magesh Akka</t>
  </si>
  <si>
    <t>Kirak Viji</t>
  </si>
  <si>
    <t>Sarathy Ramesh</t>
  </si>
  <si>
    <t>babu 40000</t>
  </si>
  <si>
    <t>apppa 80000</t>
  </si>
  <si>
    <t xml:space="preserve">Karthhi </t>
  </si>
  <si>
    <t>Soniya Rajesh</t>
  </si>
  <si>
    <t>Ganapathi</t>
  </si>
  <si>
    <t>Satha</t>
  </si>
  <si>
    <t>karthick</t>
  </si>
  <si>
    <t>vinith vt</t>
  </si>
  <si>
    <t>Prathap PL</t>
  </si>
  <si>
    <t>Karthi molakotaiyan</t>
  </si>
  <si>
    <t>29-02-2025</t>
  </si>
  <si>
    <t>Soniya Annamalai</t>
  </si>
  <si>
    <t xml:space="preserve">Tailor Sathihs Friend </t>
  </si>
  <si>
    <t>soniya rajesh</t>
  </si>
  <si>
    <t>Soniya Amma</t>
  </si>
  <si>
    <t>Sarathy ramesh</t>
  </si>
  <si>
    <t>Archana</t>
  </si>
  <si>
    <t>Veeramani</t>
  </si>
  <si>
    <t xml:space="preserve">satha </t>
  </si>
  <si>
    <t>Soniya street</t>
  </si>
  <si>
    <t>Balaji Idli</t>
  </si>
  <si>
    <t xml:space="preserve">Sathish Tailor  </t>
  </si>
  <si>
    <t>Mani -Mama rahim</t>
  </si>
  <si>
    <t>Moorthi-Sathish</t>
  </si>
  <si>
    <t>Rakesh-Rakki</t>
  </si>
  <si>
    <t>Puvan- Soniya street</t>
  </si>
  <si>
    <t xml:space="preserve">Jagan </t>
  </si>
  <si>
    <t>jagan - Karthi</t>
  </si>
  <si>
    <t>Archana Siter</t>
  </si>
  <si>
    <t>Karthi Palakadai</t>
  </si>
  <si>
    <t xml:space="preserve">Appu - Friend </t>
  </si>
  <si>
    <t xml:space="preserve">Jagan - Friend </t>
  </si>
  <si>
    <t xml:space="preserve">Kaali - Tailor </t>
  </si>
  <si>
    <t>Rajesh - Chingaram</t>
  </si>
  <si>
    <t>Pavin-Meltheru</t>
  </si>
  <si>
    <t>Road Tailor</t>
  </si>
  <si>
    <t xml:space="preserve">Karthi -Jagan </t>
  </si>
  <si>
    <t xml:space="preserve">Soniya </t>
  </si>
  <si>
    <t>Babu Bensan</t>
  </si>
  <si>
    <t>Bass - Kari Kadai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</si>
</sst>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8"/>
      <color theme="1"/>
      <name val="Calibri"/>
      <family val="2"/>
      <scheme val="minor"/>
    </font>
    <font>
      <b/>
      <sz val="24"/>
      <color rgb="FF002060"/>
      <name val="Times New Roman"/>
      <family val="1"/>
    </font>
    <font>
      <sz val="24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FF0000"/>
      <name val="Times New Roman"/>
      <family val="1"/>
    </font>
    <font>
      <b/>
      <sz val="32"/>
      <color rgb="FF002060"/>
      <name val="Times New Roman"/>
      <family val="1"/>
    </font>
    <font>
      <b/>
      <sz val="3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14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17" fontId="1" fillId="0" borderId="1" xfId="0" applyNumberFormat="1" applyFont="1" applyBorder="1"/>
    <xf numFmtId="0" fontId="3" fillId="0" borderId="1" xfId="0" applyFont="1" applyBorder="1"/>
    <xf numFmtId="0" fontId="4" fillId="6" borderId="1" xfId="0" applyFont="1" applyFill="1" applyBorder="1"/>
    <xf numFmtId="0" fontId="2" fillId="3" borderId="1" xfId="0" applyFont="1" applyFill="1" applyBorder="1"/>
    <xf numFmtId="0" fontId="7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5" fillId="4" borderId="1" xfId="0" applyFont="1" applyFill="1" applyBorder="1"/>
    <xf numFmtId="14" fontId="8" fillId="0" borderId="1" xfId="0" applyNumberFormat="1" applyFont="1" applyBorder="1"/>
    <xf numFmtId="0" fontId="8" fillId="5" borderId="1" xfId="0" applyFont="1" applyFill="1" applyBorder="1"/>
    <xf numFmtId="0" fontId="9" fillId="0" borderId="1" xfId="0" applyFont="1" applyBorder="1"/>
    <xf numFmtId="0" fontId="5" fillId="4" borderId="3" xfId="0" applyFont="1" applyFill="1" applyBorder="1"/>
    <xf numFmtId="0" fontId="8" fillId="7" borderId="1" xfId="0" applyFont="1" applyFill="1" applyBorder="1"/>
    <xf numFmtId="0" fontId="8" fillId="0" borderId="4" xfId="0" applyFont="1" applyBorder="1"/>
    <xf numFmtId="0" fontId="8" fillId="5" borderId="4" xfId="0" applyFont="1" applyFill="1" applyBorder="1"/>
    <xf numFmtId="0" fontId="8" fillId="0" borderId="5" xfId="0" applyFont="1" applyBorder="1"/>
    <xf numFmtId="0" fontId="8" fillId="5" borderId="5" xfId="0" applyFont="1" applyFill="1" applyBorder="1"/>
    <xf numFmtId="14" fontId="8" fillId="0" borderId="3" xfId="0" applyNumberFormat="1" applyFont="1" applyBorder="1"/>
    <xf numFmtId="0" fontId="4" fillId="6" borderId="3" xfId="0" applyFont="1" applyFill="1" applyBorder="1"/>
    <xf numFmtId="0" fontId="8" fillId="0" borderId="3" xfId="0" applyFont="1" applyBorder="1"/>
    <xf numFmtId="0" fontId="8" fillId="7" borderId="3" xfId="0" applyFont="1" applyFill="1" applyBorder="1"/>
    <xf numFmtId="0" fontId="7" fillId="0" borderId="3" xfId="0" applyFont="1" applyBorder="1"/>
    <xf numFmtId="0" fontId="6" fillId="0" borderId="3" xfId="0" applyFont="1" applyBorder="1"/>
    <xf numFmtId="0" fontId="8" fillId="5" borderId="3" xfId="0" applyFont="1" applyFill="1" applyBorder="1"/>
    <xf numFmtId="0" fontId="9" fillId="0" borderId="3" xfId="0" applyFont="1" applyBorder="1"/>
    <xf numFmtId="14" fontId="9" fillId="0" borderId="1" xfId="0" applyNumberFormat="1" applyFont="1" applyBorder="1"/>
    <xf numFmtId="0" fontId="9" fillId="0" borderId="0" xfId="0" applyFont="1"/>
    <xf numFmtId="0" fontId="11" fillId="4" borderId="1" xfId="0" applyFont="1" applyFill="1" applyBorder="1"/>
    <xf numFmtId="0" fontId="8" fillId="2" borderId="1" xfId="0" applyFont="1" applyFill="1" applyBorder="1"/>
    <xf numFmtId="14" fontId="8" fillId="0" borderId="5" xfId="0" applyNumberFormat="1" applyFont="1" applyBorder="1"/>
    <xf numFmtId="14" fontId="8" fillId="0" borderId="4" xfId="0" applyNumberFormat="1" applyFont="1" applyBorder="1"/>
    <xf numFmtId="17" fontId="10" fillId="4" borderId="1" xfId="0" applyNumberFormat="1" applyFont="1" applyFill="1" applyBorder="1"/>
    <xf numFmtId="0" fontId="12" fillId="6" borderId="1" xfId="0" applyFont="1" applyFill="1" applyBorder="1"/>
    <xf numFmtId="0" fontId="10" fillId="4" borderId="1" xfId="0" applyFont="1" applyFill="1" applyBorder="1"/>
    <xf numFmtId="0" fontId="13" fillId="6" borderId="1" xfId="0" applyFont="1" applyFill="1" applyBorder="1"/>
    <xf numFmtId="0" fontId="10" fillId="4" borderId="3" xfId="0" applyFont="1" applyFill="1" applyBorder="1"/>
    <xf numFmtId="0" fontId="13" fillId="6" borderId="3" xfId="0" applyFont="1" applyFill="1" applyBorder="1"/>
    <xf numFmtId="0" fontId="12" fillId="6" borderId="3" xfId="0" applyFont="1" applyFill="1" applyBorder="1"/>
    <xf numFmtId="0" fontId="14" fillId="8" borderId="1" xfId="0" applyFont="1" applyFill="1" applyBorder="1"/>
    <xf numFmtId="0" fontId="14" fillId="0" borderId="0" xfId="0" applyFont="1"/>
    <xf numFmtId="0" fontId="14" fillId="0" borderId="1" xfId="0" applyFont="1" applyBorder="1"/>
    <xf numFmtId="0" fontId="12" fillId="8" borderId="1" xfId="0" applyFont="1" applyFill="1" applyBorder="1"/>
    <xf numFmtId="0" fontId="13" fillId="8" borderId="1" xfId="0" applyFont="1" applyFill="1" applyBorder="1"/>
    <xf numFmtId="0" fontId="8" fillId="9" borderId="1" xfId="0" applyFont="1" applyFill="1" applyBorder="1"/>
    <xf numFmtId="0" fontId="9" fillId="9" borderId="1" xfId="0" applyFont="1" applyFill="1" applyBorder="1"/>
    <xf numFmtId="0" fontId="10" fillId="10" borderId="1" xfId="0" applyFont="1" applyFill="1" applyBorder="1"/>
    <xf numFmtId="14" fontId="9" fillId="10" borderId="1" xfId="0" applyNumberFormat="1" applyFont="1" applyFill="1" applyBorder="1"/>
    <xf numFmtId="0" fontId="13" fillId="10" borderId="1" xfId="0" applyFont="1" applyFill="1" applyBorder="1"/>
    <xf numFmtId="0" fontId="9" fillId="10" borderId="1" xfId="0" applyFont="1" applyFill="1" applyBorder="1"/>
    <xf numFmtId="0" fontId="8" fillId="10" borderId="1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2" borderId="1" xfId="0" applyFont="1" applyFill="1" applyBorder="1"/>
    <xf numFmtId="17" fontId="14" fillId="0" borderId="1" xfId="0" applyNumberFormat="1" applyFont="1" applyBorder="1"/>
    <xf numFmtId="0" fontId="15" fillId="0" borderId="1" xfId="0" applyFont="1" applyBorder="1"/>
    <xf numFmtId="0" fontId="16" fillId="0" borderId="1" xfId="0" applyFont="1" applyBorder="1"/>
  </cellXfs>
  <cellStyles count="1">
    <cellStyle name="Normal" xfId="0" builtinId="0"/>
  </cellStyles>
  <dxfs count="54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E304-761B-4F58-ADAA-018636F1F237}">
  <dimension ref="A2:J9"/>
  <sheetViews>
    <sheetView workbookViewId="0">
      <selection activeCell="I7" sqref="I7"/>
    </sheetView>
  </sheetViews>
  <sheetFormatPr defaultRowHeight="18" x14ac:dyDescent="0.35"/>
  <cols>
    <col min="1" max="1" width="8.88671875" style="45"/>
    <col min="2" max="2" width="10.33203125" style="45" bestFit="1" customWidth="1"/>
    <col min="3" max="16384" width="8.88671875" style="45"/>
  </cols>
  <sheetData>
    <row r="2" spans="1:10" x14ac:dyDescent="0.35">
      <c r="D2" s="45" t="s">
        <v>75</v>
      </c>
      <c r="E2" s="45" t="s">
        <v>74</v>
      </c>
      <c r="F2" s="45" t="s">
        <v>76</v>
      </c>
      <c r="G2" s="45" t="s">
        <v>77</v>
      </c>
      <c r="H2" s="45" t="s">
        <v>78</v>
      </c>
    </row>
    <row r="3" spans="1:10" x14ac:dyDescent="0.35">
      <c r="A3" s="46" t="s">
        <v>52</v>
      </c>
      <c r="B3" s="44" t="s">
        <v>46</v>
      </c>
      <c r="C3" s="44" t="s">
        <v>47</v>
      </c>
      <c r="D3" s="44">
        <v>1</v>
      </c>
      <c r="E3" s="44">
        <v>2</v>
      </c>
      <c r="F3" s="44">
        <v>3</v>
      </c>
      <c r="G3" s="44">
        <v>4</v>
      </c>
      <c r="H3" s="44">
        <v>5</v>
      </c>
      <c r="I3" s="44" t="s">
        <v>64</v>
      </c>
      <c r="J3" s="46" t="s">
        <v>65</v>
      </c>
    </row>
    <row r="4" spans="1:10" x14ac:dyDescent="0.35">
      <c r="A4" s="60">
        <v>42278</v>
      </c>
      <c r="B4" s="46" t="s">
        <v>18</v>
      </c>
      <c r="C4" s="46">
        <v>20000</v>
      </c>
      <c r="D4" s="46">
        <v>4000</v>
      </c>
      <c r="E4" s="46">
        <v>4000</v>
      </c>
      <c r="F4" s="46">
        <v>4000</v>
      </c>
      <c r="G4" s="46">
        <v>4000</v>
      </c>
      <c r="H4" s="46">
        <v>4000</v>
      </c>
      <c r="I4" s="46">
        <f>SUM(D4:H4)</f>
        <v>20000</v>
      </c>
      <c r="J4" s="46">
        <f>SUM(C4-I4)</f>
        <v>0</v>
      </c>
    </row>
    <row r="5" spans="1:10" x14ac:dyDescent="0.35">
      <c r="A5" s="60">
        <v>42278</v>
      </c>
      <c r="B5" s="46" t="s">
        <v>33</v>
      </c>
      <c r="C5" s="46">
        <v>10000</v>
      </c>
      <c r="D5" s="46">
        <v>2000</v>
      </c>
      <c r="E5" s="46">
        <v>2000</v>
      </c>
      <c r="F5" s="46">
        <v>2000</v>
      </c>
      <c r="G5" s="46">
        <v>2000</v>
      </c>
      <c r="H5" s="46">
        <v>2000</v>
      </c>
      <c r="I5" s="46">
        <f t="shared" ref="I5:I7" si="0">SUM(D5:H5)</f>
        <v>10000</v>
      </c>
      <c r="J5" s="46">
        <f t="shared" ref="J5:J7" si="1">SUM(C5-I5)</f>
        <v>0</v>
      </c>
    </row>
    <row r="6" spans="1:10" x14ac:dyDescent="0.35">
      <c r="A6" s="60">
        <v>42278</v>
      </c>
      <c r="B6" s="46" t="s">
        <v>50</v>
      </c>
      <c r="C6" s="46">
        <v>10000</v>
      </c>
      <c r="D6" s="46">
        <v>2000</v>
      </c>
      <c r="E6" s="46">
        <v>2000</v>
      </c>
      <c r="F6" s="46">
        <v>2000</v>
      </c>
      <c r="G6" s="46">
        <v>1000</v>
      </c>
      <c r="H6" s="46">
        <v>3000</v>
      </c>
      <c r="I6" s="46">
        <f t="shared" si="0"/>
        <v>10000</v>
      </c>
      <c r="J6" s="46">
        <f t="shared" si="1"/>
        <v>0</v>
      </c>
    </row>
    <row r="7" spans="1:10" x14ac:dyDescent="0.35">
      <c r="A7" s="60">
        <v>38384</v>
      </c>
      <c r="B7" s="46" t="s">
        <v>3</v>
      </c>
      <c r="C7" s="46">
        <v>10000</v>
      </c>
      <c r="D7" s="46">
        <v>2000</v>
      </c>
      <c r="E7" s="46">
        <v>2000</v>
      </c>
      <c r="F7" s="46">
        <v>2000</v>
      </c>
      <c r="G7" s="46">
        <v>2000</v>
      </c>
      <c r="H7" s="46">
        <v>2000</v>
      </c>
      <c r="I7" s="46">
        <f t="shared" si="0"/>
        <v>10000</v>
      </c>
      <c r="J7" s="46">
        <f t="shared" si="1"/>
        <v>0</v>
      </c>
    </row>
    <row r="8" spans="1:10" x14ac:dyDescent="0.35">
      <c r="A8" s="46"/>
      <c r="B8" s="46"/>
      <c r="C8" s="46"/>
      <c r="D8" s="46"/>
      <c r="E8" s="46"/>
      <c r="F8" s="46"/>
      <c r="G8" s="46"/>
      <c r="H8" s="46"/>
      <c r="I8" s="46"/>
      <c r="J8" s="46"/>
    </row>
    <row r="9" spans="1:10" x14ac:dyDescent="0.35">
      <c r="A9" s="46"/>
      <c r="B9" s="46"/>
      <c r="C9" s="46"/>
      <c r="D9" s="46"/>
      <c r="E9" s="46"/>
      <c r="F9" s="46"/>
      <c r="G9" s="46"/>
      <c r="H9" s="46"/>
      <c r="I9" s="46"/>
      <c r="J9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0B66-A7F8-4B38-BA97-FCF32A6BAD1C}">
  <dimension ref="A2:G35"/>
  <sheetViews>
    <sheetView zoomScale="86" workbookViewId="0">
      <selection activeCell="F4" sqref="F4"/>
    </sheetView>
  </sheetViews>
  <sheetFormatPr defaultRowHeight="21" x14ac:dyDescent="0.4"/>
  <cols>
    <col min="1" max="1" width="52.109375" style="5" customWidth="1"/>
    <col min="2" max="2" width="17.33203125" style="5" bestFit="1" customWidth="1"/>
    <col min="3" max="3" width="42.44140625" style="5" customWidth="1"/>
    <col min="6" max="6" width="30" customWidth="1"/>
    <col min="7" max="7" width="12" bestFit="1" customWidth="1"/>
    <col min="9" max="9" width="28.5546875" customWidth="1"/>
  </cols>
  <sheetData>
    <row r="2" spans="1:7" x14ac:dyDescent="0.4">
      <c r="A2" s="9" t="s">
        <v>7</v>
      </c>
      <c r="B2" s="9"/>
      <c r="C2" s="9" t="s">
        <v>8</v>
      </c>
    </row>
    <row r="3" spans="1:7" ht="23.4" x14ac:dyDescent="0.45">
      <c r="A3" s="3" t="s">
        <v>15</v>
      </c>
      <c r="B3" s="3">
        <v>0</v>
      </c>
      <c r="C3" s="6">
        <v>39142</v>
      </c>
      <c r="D3">
        <v>21000</v>
      </c>
      <c r="F3" s="7"/>
      <c r="G3" s="7"/>
    </row>
    <row r="4" spans="1:7" ht="23.4" x14ac:dyDescent="0.45">
      <c r="A4" s="3" t="s">
        <v>68</v>
      </c>
      <c r="B4" s="3">
        <v>0</v>
      </c>
      <c r="C4" s="6"/>
      <c r="F4" s="7" t="s">
        <v>87</v>
      </c>
      <c r="G4" s="7"/>
    </row>
    <row r="5" spans="1:7" ht="23.4" x14ac:dyDescent="0.45">
      <c r="A5" s="3" t="s">
        <v>45</v>
      </c>
      <c r="B5" s="3">
        <v>0</v>
      </c>
      <c r="C5" s="2">
        <v>45438</v>
      </c>
      <c r="F5" s="7" t="s">
        <v>88</v>
      </c>
      <c r="G5" s="7"/>
    </row>
    <row r="6" spans="1:7" ht="23.4" x14ac:dyDescent="0.45">
      <c r="F6" s="7"/>
    </row>
    <row r="9" spans="1:7" x14ac:dyDescent="0.4">
      <c r="A9" s="3" t="s">
        <v>10</v>
      </c>
      <c r="B9" s="59">
        <f>SUM(Finance!F:F)</f>
        <v>231500</v>
      </c>
    </row>
    <row r="10" spans="1:7" x14ac:dyDescent="0.4">
      <c r="A10" s="3" t="s">
        <v>11</v>
      </c>
      <c r="B10" s="3">
        <f>SUM(B3:B7)</f>
        <v>0</v>
      </c>
      <c r="C10" s="56"/>
    </row>
    <row r="11" spans="1:7" x14ac:dyDescent="0.4">
      <c r="A11" s="3" t="s">
        <v>63</v>
      </c>
      <c r="B11" s="3">
        <f>SUM('Monthly Finance '!J:J)</f>
        <v>0</v>
      </c>
      <c r="C11" s="57"/>
    </row>
    <row r="12" spans="1:7" x14ac:dyDescent="0.4">
      <c r="A12" s="3" t="s">
        <v>12</v>
      </c>
      <c r="B12" s="3">
        <f>SUM(B9:B11)</f>
        <v>231500</v>
      </c>
      <c r="C12" s="58"/>
    </row>
    <row r="13" spans="1:7" x14ac:dyDescent="0.4">
      <c r="A13" s="3"/>
      <c r="B13" s="3"/>
      <c r="C13" s="3"/>
    </row>
    <row r="14" spans="1:7" x14ac:dyDescent="0.4">
      <c r="A14" s="4"/>
      <c r="B14" s="4"/>
      <c r="C14" s="4"/>
    </row>
    <row r="15" spans="1:7" x14ac:dyDescent="0.4">
      <c r="A15" s="3"/>
      <c r="B15" s="3"/>
      <c r="C15" s="3"/>
    </row>
    <row r="16" spans="1:7" x14ac:dyDescent="0.4">
      <c r="A16" s="3"/>
      <c r="B16" s="3"/>
      <c r="C16" s="3"/>
    </row>
    <row r="17" spans="1:3" x14ac:dyDescent="0.4">
      <c r="A17" s="3"/>
      <c r="B17" s="3"/>
      <c r="C17" s="3"/>
    </row>
    <row r="18" spans="1:3" x14ac:dyDescent="0.4">
      <c r="A18" s="3"/>
      <c r="B18" s="3"/>
      <c r="C18" s="3"/>
    </row>
    <row r="19" spans="1:3" x14ac:dyDescent="0.4">
      <c r="A19" s="3"/>
      <c r="B19" s="3"/>
      <c r="C19" s="3"/>
    </row>
    <row r="20" spans="1:3" x14ac:dyDescent="0.4">
      <c r="A20" s="3"/>
      <c r="B20" s="3"/>
      <c r="C20" s="3"/>
    </row>
    <row r="21" spans="1:3" x14ac:dyDescent="0.4">
      <c r="A21" s="3"/>
      <c r="B21" s="3"/>
      <c r="C21" s="3"/>
    </row>
    <row r="22" spans="1:3" x14ac:dyDescent="0.4">
      <c r="A22" s="3"/>
      <c r="B22" s="3"/>
      <c r="C22" s="3"/>
    </row>
    <row r="23" spans="1:3" x14ac:dyDescent="0.4">
      <c r="A23" s="3"/>
      <c r="B23" s="3"/>
      <c r="C23" s="3"/>
    </row>
    <row r="24" spans="1:3" x14ac:dyDescent="0.4">
      <c r="A24" s="3"/>
      <c r="B24" s="3"/>
      <c r="C24" s="3"/>
    </row>
    <row r="25" spans="1:3" ht="14.4" x14ac:dyDescent="0.3">
      <c r="A25" s="1"/>
      <c r="B25" s="1"/>
      <c r="C25" s="1"/>
    </row>
    <row r="26" spans="1:3" x14ac:dyDescent="0.4">
      <c r="A26" s="3"/>
      <c r="B26" s="3"/>
      <c r="C26" s="3"/>
    </row>
    <row r="27" spans="1:3" x14ac:dyDescent="0.4">
      <c r="A27" s="3"/>
      <c r="B27" s="3"/>
      <c r="C27" s="3"/>
    </row>
    <row r="28" spans="1:3" x14ac:dyDescent="0.4">
      <c r="A28" s="3"/>
      <c r="B28" s="3"/>
      <c r="C28" s="3"/>
    </row>
    <row r="29" spans="1:3" ht="14.4" x14ac:dyDescent="0.3">
      <c r="A29" s="1"/>
      <c r="B29" s="1"/>
      <c r="C29" s="1"/>
    </row>
    <row r="30" spans="1:3" x14ac:dyDescent="0.4">
      <c r="A30" s="3"/>
      <c r="B30" s="3"/>
      <c r="C30" s="3"/>
    </row>
    <row r="31" spans="1:3" ht="14.4" x14ac:dyDescent="0.3">
      <c r="A31" s="1"/>
      <c r="B31" s="1"/>
      <c r="C31" s="1"/>
    </row>
    <row r="32" spans="1:3" x14ac:dyDescent="0.4">
      <c r="A32" s="3"/>
      <c r="B32" s="3"/>
      <c r="C32" s="3"/>
    </row>
    <row r="33" spans="1:3" x14ac:dyDescent="0.4">
      <c r="A33" s="3"/>
      <c r="B33" s="3"/>
      <c r="C33" s="3"/>
    </row>
    <row r="34" spans="1:3" x14ac:dyDescent="0.4">
      <c r="A34" s="3"/>
      <c r="B34" s="3"/>
      <c r="C34" s="3"/>
    </row>
    <row r="35" spans="1:3" x14ac:dyDescent="0.4">
      <c r="A35" s="3"/>
      <c r="B35" s="3"/>
      <c r="C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FE31-3F61-42B3-838D-62D78ABF5BFA}">
  <sheetPr filterMode="1"/>
  <dimension ref="A2:CT361"/>
  <sheetViews>
    <sheetView tabSelected="1" topLeftCell="B3" zoomScale="33" zoomScaleNormal="40" workbookViewId="0">
      <selection activeCell="CM276" sqref="CM276"/>
    </sheetView>
  </sheetViews>
  <sheetFormatPr defaultRowHeight="36.6" x14ac:dyDescent="0.7"/>
  <cols>
    <col min="1" max="1" width="5.5546875" style="39" customWidth="1"/>
    <col min="2" max="2" width="24.109375" style="16" bestFit="1" customWidth="1"/>
    <col min="3" max="3" width="68.88671875" style="12" bestFit="1" customWidth="1"/>
    <col min="4" max="4" width="46.77734375" style="12" customWidth="1"/>
    <col min="5" max="5" width="34.21875" style="61" customWidth="1"/>
    <col min="6" max="6" width="36.44140625" style="18" bestFit="1" customWidth="1"/>
    <col min="7" max="7" width="27.5546875" style="16" bestFit="1" customWidth="1"/>
    <col min="8" max="21" width="23.33203125" style="32" hidden="1" customWidth="1"/>
    <col min="22" max="28" width="23.33203125" style="16" hidden="1" customWidth="1"/>
    <col min="29" max="44" width="23.88671875" style="16" hidden="1" customWidth="1"/>
    <col min="45" max="64" width="23" style="16" hidden="1" customWidth="1"/>
    <col min="65" max="65" width="38.44140625" style="16" hidden="1" customWidth="1"/>
    <col min="66" max="66" width="47.77734375" style="16" hidden="1" customWidth="1"/>
    <col min="67" max="76" width="23" style="16" hidden="1" customWidth="1"/>
    <col min="77" max="79" width="24.6640625" style="16" hidden="1" customWidth="1"/>
    <col min="80" max="80" width="29.77734375" style="16" hidden="1" customWidth="1"/>
    <col min="81" max="81" width="26.6640625" style="16" hidden="1" customWidth="1"/>
    <col min="82" max="85" width="24.6640625" style="16" hidden="1" customWidth="1"/>
    <col min="86" max="94" width="24.6640625" style="16" bestFit="1" customWidth="1"/>
    <col min="95" max="16384" width="8.88671875" style="16"/>
  </cols>
  <sheetData>
    <row r="2" spans="1:98" s="12" customFormat="1" ht="35.4" x14ac:dyDescent="0.6">
      <c r="A2" s="33"/>
      <c r="B2" s="12" t="s">
        <v>9</v>
      </c>
      <c r="C2" s="34" t="s">
        <v>0</v>
      </c>
      <c r="D2" s="34" t="s">
        <v>38</v>
      </c>
      <c r="E2" s="62" t="s">
        <v>48</v>
      </c>
      <c r="F2" s="18" t="s">
        <v>13</v>
      </c>
      <c r="G2" s="16" t="s">
        <v>14</v>
      </c>
      <c r="H2" s="35">
        <v>45389</v>
      </c>
      <c r="I2" s="14">
        <v>45396</v>
      </c>
      <c r="J2" s="14">
        <v>45403</v>
      </c>
      <c r="K2" s="14">
        <v>45410</v>
      </c>
      <c r="L2" s="14">
        <v>45417</v>
      </c>
      <c r="M2" s="14">
        <v>45424</v>
      </c>
      <c r="N2" s="14">
        <v>45431</v>
      </c>
      <c r="O2" s="14">
        <v>45438</v>
      </c>
      <c r="P2" s="14">
        <v>45445</v>
      </c>
      <c r="Q2" s="14">
        <v>45452</v>
      </c>
      <c r="R2" s="14">
        <v>45459</v>
      </c>
      <c r="S2" s="14">
        <v>45466</v>
      </c>
      <c r="T2" s="14">
        <v>45473</v>
      </c>
      <c r="U2" s="36">
        <v>45480</v>
      </c>
      <c r="V2" s="14">
        <v>45487</v>
      </c>
      <c r="W2" s="14">
        <v>45494</v>
      </c>
      <c r="X2" s="14">
        <v>45501</v>
      </c>
      <c r="Y2" s="14">
        <v>45508</v>
      </c>
      <c r="Z2" s="14">
        <v>45515</v>
      </c>
      <c r="AA2" s="14">
        <v>45522</v>
      </c>
      <c r="AB2" s="14">
        <v>45529</v>
      </c>
      <c r="AC2" s="14">
        <v>45536</v>
      </c>
      <c r="AD2" s="14">
        <v>45543</v>
      </c>
      <c r="AE2" s="14">
        <v>45550</v>
      </c>
      <c r="AF2" s="14">
        <v>45557</v>
      </c>
      <c r="AG2" s="14">
        <v>45564</v>
      </c>
      <c r="AH2" s="14">
        <v>45571</v>
      </c>
      <c r="AI2" s="14">
        <v>45578</v>
      </c>
      <c r="AJ2" s="14">
        <v>45585</v>
      </c>
      <c r="AK2" s="14">
        <v>45592</v>
      </c>
      <c r="AL2" s="14">
        <v>45599</v>
      </c>
      <c r="AM2" s="14">
        <v>45606</v>
      </c>
      <c r="AN2" s="14">
        <v>45613</v>
      </c>
      <c r="AO2" s="14">
        <v>45620</v>
      </c>
      <c r="AP2" s="14">
        <v>45627</v>
      </c>
      <c r="AQ2" s="14">
        <v>45634</v>
      </c>
      <c r="AR2" s="14">
        <v>45641</v>
      </c>
      <c r="AS2" s="14">
        <v>45648</v>
      </c>
      <c r="AT2" s="14">
        <v>45655</v>
      </c>
      <c r="AU2" s="14">
        <v>45662</v>
      </c>
      <c r="AV2" s="14">
        <v>45669</v>
      </c>
      <c r="AW2" s="14">
        <v>45676</v>
      </c>
      <c r="AX2" s="14">
        <v>45683</v>
      </c>
      <c r="AY2" s="14">
        <v>45690</v>
      </c>
      <c r="AZ2" s="14">
        <v>45697</v>
      </c>
      <c r="BA2" s="14">
        <v>45704</v>
      </c>
      <c r="BB2" s="14">
        <v>45711</v>
      </c>
      <c r="BC2" s="14">
        <v>45718</v>
      </c>
      <c r="BD2" s="14">
        <v>45725</v>
      </c>
      <c r="BE2" s="14">
        <v>45732</v>
      </c>
      <c r="BF2" s="14">
        <v>45739</v>
      </c>
      <c r="BG2" s="14">
        <v>45746</v>
      </c>
      <c r="BH2" s="14">
        <v>45753</v>
      </c>
      <c r="BI2" s="14">
        <v>45760</v>
      </c>
      <c r="BJ2" s="14">
        <v>45767</v>
      </c>
      <c r="BK2" s="14">
        <v>45774</v>
      </c>
      <c r="BL2" s="14">
        <v>45781</v>
      </c>
      <c r="BM2" s="14">
        <v>45788</v>
      </c>
      <c r="BN2" s="14">
        <v>45795</v>
      </c>
      <c r="BO2" s="14">
        <v>45802</v>
      </c>
      <c r="BP2" s="14">
        <v>45809</v>
      </c>
      <c r="BQ2" s="14">
        <v>45816</v>
      </c>
      <c r="BR2" s="14">
        <v>45823</v>
      </c>
      <c r="BS2" s="14">
        <v>45830</v>
      </c>
      <c r="BT2" s="14">
        <v>45837</v>
      </c>
      <c r="BU2" s="14">
        <v>45844</v>
      </c>
      <c r="BV2" s="14">
        <v>45851</v>
      </c>
      <c r="BW2" s="14">
        <v>45858</v>
      </c>
      <c r="BX2" s="14">
        <v>45865</v>
      </c>
      <c r="BY2" s="14">
        <v>45872</v>
      </c>
      <c r="BZ2" s="14">
        <v>45879</v>
      </c>
      <c r="CA2" s="14">
        <v>45886</v>
      </c>
      <c r="CB2" s="14">
        <v>45893</v>
      </c>
      <c r="CC2" s="14">
        <v>45900</v>
      </c>
      <c r="CD2" s="14">
        <v>45907</v>
      </c>
      <c r="CE2" s="14">
        <v>45914</v>
      </c>
      <c r="CF2" s="14">
        <v>45921</v>
      </c>
      <c r="CG2" s="14">
        <v>45928</v>
      </c>
      <c r="CH2" s="14">
        <v>45935</v>
      </c>
      <c r="CI2" s="14">
        <v>45942</v>
      </c>
      <c r="CJ2" s="14">
        <v>45949</v>
      </c>
      <c r="CK2" s="14">
        <v>45956</v>
      </c>
      <c r="CL2" s="14">
        <v>45963</v>
      </c>
      <c r="CM2" s="14">
        <v>45970</v>
      </c>
      <c r="CN2" s="14">
        <v>45977</v>
      </c>
      <c r="CO2" s="14">
        <v>45984</v>
      </c>
      <c r="CP2" s="14">
        <v>45991</v>
      </c>
      <c r="CQ2" s="14">
        <v>45998</v>
      </c>
      <c r="CR2" s="14">
        <v>46005</v>
      </c>
      <c r="CS2" s="14">
        <v>46012</v>
      </c>
      <c r="CT2" s="14">
        <v>46019</v>
      </c>
    </row>
    <row r="3" spans="1:98" ht="35.4" x14ac:dyDescent="0.6">
      <c r="A3" s="37"/>
      <c r="B3" s="14"/>
      <c r="E3" s="62"/>
      <c r="H3" s="21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9"/>
      <c r="V3" s="12"/>
      <c r="W3" s="12"/>
      <c r="X3" s="12"/>
      <c r="Y3" s="12"/>
      <c r="Z3" s="12"/>
      <c r="AA3" s="12"/>
      <c r="AB3" s="12"/>
      <c r="AC3" s="12"/>
      <c r="AD3" s="12"/>
    </row>
    <row r="4" spans="1:98" ht="39.6" hidden="1" x14ac:dyDescent="0.65">
      <c r="A4" s="37"/>
      <c r="B4" s="12"/>
      <c r="C4" s="40" t="s">
        <v>1</v>
      </c>
      <c r="D4" s="47">
        <f>F4/(E4*0.1)</f>
        <v>0</v>
      </c>
      <c r="E4" s="49">
        <v>5000</v>
      </c>
      <c r="F4" s="18">
        <f>E4-G4</f>
        <v>0</v>
      </c>
      <c r="G4" s="16">
        <f>SUM(H4:BJ4)</f>
        <v>5000</v>
      </c>
      <c r="H4" s="21">
        <v>0</v>
      </c>
      <c r="I4" s="12">
        <v>500</v>
      </c>
      <c r="J4" s="12">
        <v>0</v>
      </c>
      <c r="K4" s="12">
        <v>0</v>
      </c>
      <c r="L4" s="12">
        <v>1000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9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500</v>
      </c>
      <c r="AY4" s="16">
        <v>0</v>
      </c>
      <c r="AZ4" s="16">
        <v>0</v>
      </c>
      <c r="BA4" s="16">
        <v>0</v>
      </c>
      <c r="BB4" s="16">
        <v>0</v>
      </c>
      <c r="BC4" s="16">
        <v>3000</v>
      </c>
    </row>
    <row r="5" spans="1:98" ht="39.6" hidden="1" x14ac:dyDescent="0.65">
      <c r="B5" s="12"/>
      <c r="C5" s="40" t="s">
        <v>2</v>
      </c>
      <c r="D5" s="38">
        <f>F5/(E5*0.1)</f>
        <v>0</v>
      </c>
      <c r="E5" s="12">
        <v>2000</v>
      </c>
      <c r="F5" s="18">
        <f t="shared" ref="F5:F67" si="0">E5-G5</f>
        <v>0</v>
      </c>
      <c r="G5" s="16">
        <f t="shared" ref="G5" si="1">SUM(H5:AD5)</f>
        <v>2000</v>
      </c>
      <c r="H5" s="21">
        <v>0</v>
      </c>
      <c r="I5" s="12">
        <v>0</v>
      </c>
      <c r="J5" s="12">
        <v>0</v>
      </c>
      <c r="K5" s="12">
        <v>0</v>
      </c>
      <c r="L5" s="12">
        <v>0</v>
      </c>
      <c r="M5" s="12">
        <v>1000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9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1000</v>
      </c>
      <c r="AE5" s="12"/>
      <c r="AF5" s="12"/>
      <c r="AG5" s="12"/>
      <c r="AH5" s="12"/>
      <c r="AI5" s="12"/>
    </row>
    <row r="6" spans="1:98" s="28" customFormat="1" ht="39.6" hidden="1" x14ac:dyDescent="0.65">
      <c r="A6" s="17"/>
      <c r="B6" s="23">
        <v>45431</v>
      </c>
      <c r="C6" s="40" t="s">
        <v>17</v>
      </c>
      <c r="D6" s="24"/>
      <c r="E6" s="25">
        <v>10000</v>
      </c>
      <c r="F6" s="26">
        <f t="shared" si="0"/>
        <v>0</v>
      </c>
      <c r="G6" s="16">
        <f t="shared" ref="G6:G66" si="2">SUM(H6:AD6)</f>
        <v>10000</v>
      </c>
      <c r="H6" s="15"/>
      <c r="I6" s="15"/>
      <c r="J6" s="15"/>
      <c r="K6" s="15"/>
      <c r="L6" s="15"/>
      <c r="M6" s="15"/>
      <c r="N6" s="15"/>
      <c r="O6" s="12">
        <v>1000</v>
      </c>
      <c r="P6" s="12">
        <v>0</v>
      </c>
      <c r="Q6" s="12">
        <v>0</v>
      </c>
      <c r="R6" s="12">
        <v>2000</v>
      </c>
      <c r="S6" s="12">
        <v>1000</v>
      </c>
      <c r="T6" s="12">
        <v>0</v>
      </c>
      <c r="U6" s="12">
        <v>0</v>
      </c>
      <c r="V6" s="25">
        <v>0</v>
      </c>
      <c r="W6" s="25">
        <v>0</v>
      </c>
      <c r="X6" s="25">
        <v>1000</v>
      </c>
      <c r="Y6" s="25">
        <v>1000</v>
      </c>
      <c r="Z6" s="25">
        <v>4000</v>
      </c>
      <c r="AA6" s="25"/>
      <c r="AB6" s="27"/>
      <c r="AC6" s="12"/>
      <c r="AD6" s="12"/>
      <c r="AE6" s="12"/>
      <c r="AF6" s="12"/>
      <c r="AG6" s="12"/>
      <c r="AH6" s="12"/>
      <c r="AI6" s="12"/>
    </row>
    <row r="7" spans="1:98" s="11" customFormat="1" ht="39.6" hidden="1" x14ac:dyDescent="0.65">
      <c r="A7" s="13"/>
      <c r="B7" s="14">
        <v>45431</v>
      </c>
      <c r="C7" s="40" t="s">
        <v>18</v>
      </c>
      <c r="D7" s="8"/>
      <c r="E7" s="12">
        <v>5000</v>
      </c>
      <c r="F7" s="18">
        <f t="shared" si="0"/>
        <v>0</v>
      </c>
      <c r="G7" s="16">
        <f t="shared" si="2"/>
        <v>5000</v>
      </c>
      <c r="H7" s="15"/>
      <c r="I7" s="15"/>
      <c r="J7" s="15"/>
      <c r="K7" s="15"/>
      <c r="L7" s="15"/>
      <c r="M7" s="15"/>
      <c r="N7" s="15"/>
      <c r="O7" s="12">
        <v>500</v>
      </c>
      <c r="P7" s="12">
        <v>500</v>
      </c>
      <c r="Q7" s="12">
        <v>500</v>
      </c>
      <c r="R7" s="12">
        <v>500</v>
      </c>
      <c r="S7" s="12">
        <v>500</v>
      </c>
      <c r="T7" s="12">
        <v>0</v>
      </c>
      <c r="U7" s="12">
        <v>500</v>
      </c>
      <c r="V7" s="12">
        <v>500</v>
      </c>
      <c r="W7" s="12">
        <v>500</v>
      </c>
      <c r="X7" s="12">
        <v>500</v>
      </c>
      <c r="Y7" s="12">
        <v>500</v>
      </c>
      <c r="Z7" s="12">
        <v>0</v>
      </c>
      <c r="AA7" s="12"/>
      <c r="AB7" s="10"/>
      <c r="AC7" s="12"/>
      <c r="AD7" s="12"/>
      <c r="AE7" s="12"/>
      <c r="AF7" s="12"/>
      <c r="AG7" s="12"/>
      <c r="AH7" s="12"/>
      <c r="AI7" s="12"/>
    </row>
    <row r="8" spans="1:98" s="11" customFormat="1" ht="39.6" hidden="1" x14ac:dyDescent="0.65">
      <c r="A8" s="13"/>
      <c r="B8" s="14">
        <v>45445</v>
      </c>
      <c r="C8" s="40" t="s">
        <v>19</v>
      </c>
      <c r="D8" s="8"/>
      <c r="E8" s="12">
        <v>5000</v>
      </c>
      <c r="F8" s="18">
        <f t="shared" si="0"/>
        <v>0</v>
      </c>
      <c r="G8" s="16">
        <f t="shared" si="2"/>
        <v>5000</v>
      </c>
      <c r="H8" s="15"/>
      <c r="I8" s="15"/>
      <c r="J8" s="15"/>
      <c r="K8" s="15"/>
      <c r="L8" s="15"/>
      <c r="M8" s="15"/>
      <c r="N8" s="15"/>
      <c r="O8" s="15"/>
      <c r="P8" s="15"/>
      <c r="Q8" s="12">
        <v>500</v>
      </c>
      <c r="R8" s="12">
        <v>500</v>
      </c>
      <c r="S8" s="12">
        <v>500</v>
      </c>
      <c r="T8" s="12">
        <v>0</v>
      </c>
      <c r="U8" s="12">
        <v>500</v>
      </c>
      <c r="V8" s="12">
        <v>500</v>
      </c>
      <c r="W8" s="12">
        <v>500</v>
      </c>
      <c r="X8" s="12">
        <v>500</v>
      </c>
      <c r="Y8" s="12">
        <v>1500</v>
      </c>
      <c r="Z8" s="12">
        <v>0</v>
      </c>
      <c r="AA8" s="12"/>
      <c r="AB8" s="10"/>
      <c r="AC8" s="12"/>
      <c r="AD8" s="12"/>
      <c r="AE8" s="12"/>
      <c r="AF8" s="12"/>
      <c r="AG8" s="12"/>
      <c r="AH8" s="12"/>
      <c r="AI8" s="12"/>
    </row>
    <row r="9" spans="1:98" ht="39.6" hidden="1" x14ac:dyDescent="0.65">
      <c r="B9" s="14">
        <v>45445</v>
      </c>
      <c r="C9" s="40" t="s">
        <v>20</v>
      </c>
      <c r="D9" s="38"/>
      <c r="E9" s="12">
        <v>20000</v>
      </c>
      <c r="F9" s="18">
        <f t="shared" si="0"/>
        <v>0</v>
      </c>
      <c r="G9" s="16">
        <f t="shared" si="2"/>
        <v>20000</v>
      </c>
      <c r="H9" s="22"/>
      <c r="I9" s="15"/>
      <c r="J9" s="15"/>
      <c r="K9" s="15"/>
      <c r="L9" s="15"/>
      <c r="M9" s="15"/>
      <c r="N9" s="15"/>
      <c r="O9" s="15"/>
      <c r="P9" s="15"/>
      <c r="Q9" s="12">
        <v>2000</v>
      </c>
      <c r="R9" s="12">
        <v>0</v>
      </c>
      <c r="S9" s="12">
        <v>4000</v>
      </c>
      <c r="T9" s="12">
        <v>0</v>
      </c>
      <c r="U9" s="19">
        <v>0</v>
      </c>
      <c r="V9" s="12">
        <v>0</v>
      </c>
      <c r="W9" s="12">
        <v>2000</v>
      </c>
      <c r="X9" s="12">
        <v>2000</v>
      </c>
      <c r="Y9" s="12">
        <v>2000</v>
      </c>
      <c r="Z9" s="12">
        <v>0</v>
      </c>
      <c r="AA9" s="12">
        <v>2000</v>
      </c>
      <c r="AB9" s="12">
        <v>6000</v>
      </c>
      <c r="AC9" s="12"/>
      <c r="AD9" s="12"/>
      <c r="AE9" s="12"/>
      <c r="AF9" s="12"/>
      <c r="AG9" s="12"/>
      <c r="AH9" s="12"/>
      <c r="AI9" s="12"/>
    </row>
    <row r="10" spans="1:98" ht="39.6" hidden="1" x14ac:dyDescent="0.65">
      <c r="B10" s="14">
        <v>45445</v>
      </c>
      <c r="C10" s="40" t="s">
        <v>21</v>
      </c>
      <c r="D10" s="38"/>
      <c r="E10" s="12">
        <v>5000</v>
      </c>
      <c r="F10" s="18">
        <f t="shared" si="0"/>
        <v>0</v>
      </c>
      <c r="G10" s="16">
        <f t="shared" si="2"/>
        <v>5000</v>
      </c>
      <c r="H10" s="22"/>
      <c r="I10" s="15"/>
      <c r="J10" s="15"/>
      <c r="K10" s="15"/>
      <c r="L10" s="15"/>
      <c r="M10" s="15"/>
      <c r="N10" s="15"/>
      <c r="O10" s="15"/>
      <c r="P10" s="15"/>
      <c r="Q10" s="12">
        <v>0</v>
      </c>
      <c r="R10" s="12">
        <v>2000</v>
      </c>
      <c r="S10" s="12">
        <v>0</v>
      </c>
      <c r="T10" s="12">
        <v>0</v>
      </c>
      <c r="U10" s="19">
        <v>1000</v>
      </c>
      <c r="V10" s="12">
        <v>0</v>
      </c>
      <c r="W10" s="12">
        <v>0</v>
      </c>
      <c r="X10" s="12">
        <v>0</v>
      </c>
      <c r="Y10" s="12">
        <v>0</v>
      </c>
      <c r="Z10" s="12">
        <v>1000</v>
      </c>
      <c r="AA10" s="12">
        <v>0</v>
      </c>
      <c r="AB10" s="12">
        <v>1000</v>
      </c>
      <c r="AC10" s="12"/>
      <c r="AD10" s="12"/>
      <c r="AE10" s="12"/>
      <c r="AF10" s="12"/>
      <c r="AG10" s="12"/>
      <c r="AH10" s="12"/>
      <c r="AI10" s="12"/>
    </row>
    <row r="11" spans="1:98" s="30" customFormat="1" ht="39.6" hidden="1" x14ac:dyDescent="0.65">
      <c r="A11" s="41"/>
      <c r="B11" s="23">
        <v>45452</v>
      </c>
      <c r="C11" s="40" t="s">
        <v>22</v>
      </c>
      <c r="D11" s="43"/>
      <c r="E11" s="25">
        <v>5000</v>
      </c>
      <c r="F11" s="26">
        <f t="shared" si="0"/>
        <v>0</v>
      </c>
      <c r="G11" s="16">
        <f t="shared" si="2"/>
        <v>5000</v>
      </c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2">
        <v>500</v>
      </c>
      <c r="S11" s="12">
        <v>500</v>
      </c>
      <c r="T11" s="12">
        <v>500</v>
      </c>
      <c r="U11" s="19">
        <v>0</v>
      </c>
      <c r="V11" s="25">
        <v>500</v>
      </c>
      <c r="W11" s="25">
        <v>500</v>
      </c>
      <c r="X11" s="25">
        <v>500</v>
      </c>
      <c r="Y11" s="25">
        <v>500</v>
      </c>
      <c r="Z11" s="25">
        <v>500</v>
      </c>
      <c r="AA11" s="25">
        <v>1000</v>
      </c>
      <c r="AB11" s="25"/>
      <c r="AC11" s="12"/>
      <c r="AD11" s="12"/>
      <c r="AE11" s="12"/>
      <c r="AF11" s="12"/>
      <c r="AG11" s="12"/>
      <c r="AH11" s="12"/>
      <c r="AI11" s="12"/>
    </row>
    <row r="12" spans="1:98" ht="39.6" hidden="1" x14ac:dyDescent="0.65">
      <c r="B12" s="14">
        <v>45551</v>
      </c>
      <c r="C12" s="40" t="s">
        <v>23</v>
      </c>
      <c r="D12" s="38"/>
      <c r="E12" s="12">
        <v>10000</v>
      </c>
      <c r="F12" s="18">
        <f t="shared" si="0"/>
        <v>0</v>
      </c>
      <c r="G12" s="16">
        <f t="shared" si="2"/>
        <v>10000</v>
      </c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2">
        <v>1000</v>
      </c>
      <c r="T12" s="12">
        <v>1000</v>
      </c>
      <c r="U12" s="19">
        <v>0</v>
      </c>
      <c r="V12" s="12">
        <v>2000</v>
      </c>
      <c r="W12" s="12">
        <v>0</v>
      </c>
      <c r="X12" s="12">
        <v>2000</v>
      </c>
      <c r="Y12" s="12">
        <v>0</v>
      </c>
      <c r="Z12" s="12">
        <v>2000</v>
      </c>
      <c r="AA12" s="12">
        <v>2000</v>
      </c>
      <c r="AB12" s="12"/>
      <c r="AC12" s="12"/>
      <c r="AD12" s="12"/>
      <c r="AE12" s="12"/>
      <c r="AF12" s="12"/>
      <c r="AG12" s="12"/>
      <c r="AH12" s="12"/>
      <c r="AI12" s="12"/>
    </row>
    <row r="13" spans="1:98" s="28" customFormat="1" ht="39.6" hidden="1" x14ac:dyDescent="0.65">
      <c r="A13" s="17"/>
      <c r="B13" s="23">
        <v>45551</v>
      </c>
      <c r="C13" s="40" t="s">
        <v>24</v>
      </c>
      <c r="D13" s="24"/>
      <c r="E13" s="25">
        <v>5000</v>
      </c>
      <c r="F13" s="26">
        <f t="shared" si="0"/>
        <v>0</v>
      </c>
      <c r="G13" s="16">
        <f t="shared" si="2"/>
        <v>5000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2">
        <v>500</v>
      </c>
      <c r="T13" s="12">
        <v>500</v>
      </c>
      <c r="U13" s="12">
        <v>500</v>
      </c>
      <c r="V13" s="25">
        <v>500</v>
      </c>
      <c r="W13" s="25">
        <v>500</v>
      </c>
      <c r="X13" s="25">
        <v>500</v>
      </c>
      <c r="Y13" s="25">
        <v>500</v>
      </c>
      <c r="Z13" s="25">
        <v>1500</v>
      </c>
      <c r="AA13" s="25"/>
      <c r="AB13" s="27"/>
      <c r="AC13" s="12"/>
      <c r="AD13" s="12"/>
      <c r="AE13" s="12"/>
      <c r="AF13" s="12"/>
      <c r="AG13" s="12"/>
      <c r="AH13" s="12"/>
      <c r="AI13" s="12"/>
    </row>
    <row r="14" spans="1:98" ht="39.6" hidden="1" x14ac:dyDescent="0.65">
      <c r="B14" s="14">
        <v>45466</v>
      </c>
      <c r="C14" s="40" t="s">
        <v>16</v>
      </c>
      <c r="D14" s="38">
        <f t="shared" ref="D14:D15" si="3">F14/(E14*0.1)</f>
        <v>0</v>
      </c>
      <c r="E14" s="12">
        <v>5000</v>
      </c>
      <c r="F14" s="18">
        <f t="shared" si="0"/>
        <v>0</v>
      </c>
      <c r="G14" s="16">
        <f t="shared" si="2"/>
        <v>5000</v>
      </c>
      <c r="H14" s="2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2">
        <v>0</v>
      </c>
      <c r="U14" s="19">
        <v>500</v>
      </c>
      <c r="V14" s="12">
        <v>500</v>
      </c>
      <c r="W14" s="12">
        <v>500</v>
      </c>
      <c r="X14" s="12">
        <v>500</v>
      </c>
      <c r="Y14" s="12">
        <v>500</v>
      </c>
      <c r="Z14" s="12">
        <v>500</v>
      </c>
      <c r="AA14" s="12">
        <v>500</v>
      </c>
      <c r="AB14" s="12">
        <v>500</v>
      </c>
      <c r="AC14" s="12">
        <v>1000</v>
      </c>
      <c r="AD14" s="12"/>
      <c r="AE14" s="12"/>
      <c r="AF14" s="12"/>
      <c r="AG14" s="12"/>
      <c r="AH14" s="12"/>
      <c r="AI14" s="12"/>
    </row>
    <row r="15" spans="1:98" ht="39.6" hidden="1" x14ac:dyDescent="0.65">
      <c r="B15" s="14">
        <v>45473</v>
      </c>
      <c r="C15" s="40" t="s">
        <v>35</v>
      </c>
      <c r="D15" s="38">
        <f t="shared" si="3"/>
        <v>0</v>
      </c>
      <c r="E15" s="12">
        <v>5000</v>
      </c>
      <c r="F15" s="18">
        <f t="shared" si="0"/>
        <v>0</v>
      </c>
      <c r="G15" s="16">
        <f>SUM(H15:AI15)</f>
        <v>5000</v>
      </c>
      <c r="H15" s="22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9">
        <v>1000</v>
      </c>
      <c r="V15" s="12">
        <v>2000</v>
      </c>
      <c r="W15" s="12">
        <v>1000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1000</v>
      </c>
      <c r="AF15" s="12"/>
      <c r="AG15" s="12"/>
      <c r="AH15" s="12"/>
      <c r="AI15" s="12"/>
    </row>
    <row r="16" spans="1:98" ht="39.6" hidden="1" x14ac:dyDescent="0.65">
      <c r="B16" s="14">
        <v>45473</v>
      </c>
      <c r="C16" s="40" t="s">
        <v>25</v>
      </c>
      <c r="D16" s="38"/>
      <c r="E16" s="12">
        <v>10000</v>
      </c>
      <c r="F16" s="18">
        <f t="shared" si="0"/>
        <v>0</v>
      </c>
      <c r="G16" s="16">
        <f t="shared" si="2"/>
        <v>10000</v>
      </c>
      <c r="H16" s="22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9">
        <v>0</v>
      </c>
      <c r="V16" s="12">
        <v>2000</v>
      </c>
      <c r="W16" s="12">
        <v>1000</v>
      </c>
      <c r="X16" s="12">
        <v>0</v>
      </c>
      <c r="Y16" s="12">
        <v>2000</v>
      </c>
      <c r="Z16" s="12">
        <v>0</v>
      </c>
      <c r="AA16" s="12">
        <v>2000</v>
      </c>
      <c r="AB16" s="12">
        <v>3000</v>
      </c>
      <c r="AC16" s="12"/>
      <c r="AD16" s="12"/>
      <c r="AE16" s="12"/>
      <c r="AF16" s="12"/>
      <c r="AG16" s="12"/>
      <c r="AH16" s="12"/>
      <c r="AI16" s="12"/>
    </row>
    <row r="17" spans="1:41" ht="39.6" hidden="1" x14ac:dyDescent="0.65">
      <c r="B17" s="14">
        <v>45473</v>
      </c>
      <c r="C17" s="40" t="s">
        <v>3</v>
      </c>
      <c r="D17" s="47">
        <f t="shared" ref="D17:D20" si="4">F17/(E17*0.1)</f>
        <v>0</v>
      </c>
      <c r="E17" s="49">
        <v>10000</v>
      </c>
      <c r="F17" s="18">
        <f t="shared" si="0"/>
        <v>0</v>
      </c>
      <c r="G17" s="16">
        <f>SUM(H17:AR17)</f>
        <v>10000</v>
      </c>
      <c r="H17" s="22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9">
        <v>0</v>
      </c>
      <c r="V17" s="12">
        <v>2000</v>
      </c>
      <c r="W17" s="12">
        <v>1000</v>
      </c>
      <c r="X17" s="12">
        <v>0</v>
      </c>
      <c r="Y17" s="12">
        <v>2000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5000</v>
      </c>
    </row>
    <row r="18" spans="1:41" ht="39.6" hidden="1" x14ac:dyDescent="0.65">
      <c r="B18" s="14">
        <v>45473</v>
      </c>
      <c r="C18" s="40" t="s">
        <v>5</v>
      </c>
      <c r="D18" s="38">
        <f t="shared" si="4"/>
        <v>0</v>
      </c>
      <c r="E18" s="12">
        <v>5000</v>
      </c>
      <c r="F18" s="18">
        <f t="shared" si="0"/>
        <v>0</v>
      </c>
      <c r="G18" s="16">
        <f t="shared" si="2"/>
        <v>5000</v>
      </c>
      <c r="H18" s="22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9">
        <v>500</v>
      </c>
      <c r="V18" s="12">
        <v>500</v>
      </c>
      <c r="W18" s="12">
        <v>500</v>
      </c>
      <c r="X18" s="12">
        <v>500</v>
      </c>
      <c r="Y18" s="12">
        <v>500</v>
      </c>
      <c r="Z18" s="12">
        <v>500</v>
      </c>
      <c r="AA18" s="12">
        <v>500</v>
      </c>
      <c r="AB18" s="12">
        <v>500</v>
      </c>
      <c r="AC18" s="12">
        <v>500</v>
      </c>
      <c r="AD18" s="12">
        <v>500</v>
      </c>
      <c r="AE18" s="12"/>
      <c r="AF18" s="12"/>
      <c r="AG18" s="12"/>
      <c r="AH18" s="12"/>
      <c r="AI18" s="12"/>
    </row>
    <row r="19" spans="1:41" ht="39.6" hidden="1" x14ac:dyDescent="0.65">
      <c r="B19" s="14">
        <v>45511</v>
      </c>
      <c r="C19" s="40" t="s">
        <v>26</v>
      </c>
      <c r="D19" s="38">
        <f t="shared" si="4"/>
        <v>0</v>
      </c>
      <c r="E19" s="12">
        <v>5000</v>
      </c>
      <c r="F19" s="18">
        <f t="shared" si="0"/>
        <v>0</v>
      </c>
      <c r="G19" s="16">
        <f t="shared" si="2"/>
        <v>5000</v>
      </c>
      <c r="H19" s="22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20"/>
      <c r="V19" s="12">
        <v>500</v>
      </c>
      <c r="W19" s="12">
        <v>500</v>
      </c>
      <c r="X19" s="12">
        <v>500</v>
      </c>
      <c r="Y19" s="12">
        <v>500</v>
      </c>
      <c r="Z19" s="12">
        <v>500</v>
      </c>
      <c r="AA19" s="12">
        <v>500</v>
      </c>
      <c r="AB19" s="12">
        <v>500</v>
      </c>
      <c r="AC19" s="12">
        <v>1500</v>
      </c>
      <c r="AD19" s="12"/>
      <c r="AE19" s="12"/>
      <c r="AF19" s="12"/>
      <c r="AG19" s="12"/>
      <c r="AH19" s="12"/>
      <c r="AI19" s="12"/>
    </row>
    <row r="20" spans="1:41" ht="39.6" hidden="1" x14ac:dyDescent="0.65">
      <c r="B20" s="14">
        <v>45511</v>
      </c>
      <c r="C20" s="40" t="s">
        <v>6</v>
      </c>
      <c r="D20" s="38">
        <f t="shared" si="4"/>
        <v>0</v>
      </c>
      <c r="E20" s="12">
        <v>20000</v>
      </c>
      <c r="F20" s="18">
        <f>E20-G20</f>
        <v>0</v>
      </c>
      <c r="G20" s="16">
        <f>SUM(H20:AI20)</f>
        <v>20000</v>
      </c>
      <c r="H20" s="2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20"/>
      <c r="V20" s="12">
        <v>2000</v>
      </c>
      <c r="W20" s="12">
        <v>2000</v>
      </c>
      <c r="X20" s="12">
        <v>2000</v>
      </c>
      <c r="Y20" s="12">
        <v>2000</v>
      </c>
      <c r="Z20" s="12">
        <v>2000</v>
      </c>
      <c r="AA20" s="12">
        <v>2000</v>
      </c>
      <c r="AB20" s="12">
        <v>0</v>
      </c>
      <c r="AC20" s="12">
        <v>4000</v>
      </c>
      <c r="AD20" s="12">
        <v>0</v>
      </c>
      <c r="AE20" s="12">
        <v>4000</v>
      </c>
      <c r="AF20" s="12"/>
      <c r="AG20" s="12"/>
      <c r="AH20" s="12"/>
      <c r="AI20" s="12"/>
    </row>
    <row r="21" spans="1:41" ht="39.6" hidden="1" x14ac:dyDescent="0.65">
      <c r="B21" s="14">
        <v>45511</v>
      </c>
      <c r="C21" s="40" t="s">
        <v>20</v>
      </c>
      <c r="D21" s="38"/>
      <c r="E21" s="12">
        <v>10000</v>
      </c>
      <c r="F21" s="18">
        <f t="shared" si="0"/>
        <v>0</v>
      </c>
      <c r="G21" s="16">
        <f t="shared" si="2"/>
        <v>10000</v>
      </c>
      <c r="H21" s="22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20"/>
      <c r="V21" s="12">
        <v>0</v>
      </c>
      <c r="W21" s="12">
        <v>1000</v>
      </c>
      <c r="X21" s="12">
        <v>1000</v>
      </c>
      <c r="Y21" s="12">
        <v>500</v>
      </c>
      <c r="Z21" s="12">
        <v>1500</v>
      </c>
      <c r="AA21" s="12">
        <v>0</v>
      </c>
      <c r="AB21" s="12">
        <v>6000</v>
      </c>
      <c r="AC21" s="12"/>
      <c r="AD21" s="12"/>
      <c r="AE21" s="12"/>
      <c r="AF21" s="12"/>
      <c r="AG21" s="12"/>
      <c r="AH21" s="12"/>
      <c r="AI21" s="12"/>
    </row>
    <row r="22" spans="1:41" s="28" customFormat="1" ht="39.6" hidden="1" x14ac:dyDescent="0.65">
      <c r="A22" s="17"/>
      <c r="B22" s="23">
        <v>45511</v>
      </c>
      <c r="C22" s="40" t="s">
        <v>27</v>
      </c>
      <c r="D22" s="24"/>
      <c r="E22" s="25">
        <v>10000</v>
      </c>
      <c r="F22" s="26">
        <f t="shared" si="0"/>
        <v>0</v>
      </c>
      <c r="G22" s="16">
        <f t="shared" si="2"/>
        <v>10000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25">
        <v>2000</v>
      </c>
      <c r="W22" s="25">
        <v>2000</v>
      </c>
      <c r="X22" s="25">
        <v>2000</v>
      </c>
      <c r="Y22" s="25">
        <v>4000</v>
      </c>
      <c r="Z22" s="25">
        <v>0</v>
      </c>
      <c r="AA22" s="25"/>
      <c r="AB22" s="27"/>
      <c r="AC22" s="12"/>
      <c r="AD22" s="12"/>
      <c r="AE22" s="12"/>
      <c r="AF22" s="12"/>
      <c r="AG22" s="12"/>
      <c r="AH22" s="12"/>
      <c r="AI22" s="12"/>
    </row>
    <row r="23" spans="1:41" ht="39.6" hidden="1" x14ac:dyDescent="0.65">
      <c r="B23" s="14">
        <v>45493</v>
      </c>
      <c r="C23" s="40" t="s">
        <v>28</v>
      </c>
      <c r="D23" s="38">
        <f t="shared" ref="D23:D25" si="5">F23/(E23*0.1)</f>
        <v>0</v>
      </c>
      <c r="E23" s="12">
        <v>10000</v>
      </c>
      <c r="F23" s="18">
        <f t="shared" si="0"/>
        <v>0</v>
      </c>
      <c r="G23" s="16">
        <f t="shared" ref="G23:G25" si="6">SUM(H23:AI23)</f>
        <v>10000</v>
      </c>
      <c r="H23" s="22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20"/>
      <c r="V23" s="15"/>
      <c r="W23" s="15"/>
      <c r="X23" s="12">
        <v>0</v>
      </c>
      <c r="Y23" s="12">
        <v>0</v>
      </c>
      <c r="Z23" s="12">
        <v>2000</v>
      </c>
      <c r="AA23" s="12">
        <v>0</v>
      </c>
      <c r="AB23" s="12">
        <v>0</v>
      </c>
      <c r="AC23" s="12">
        <v>2000</v>
      </c>
      <c r="AD23" s="12">
        <v>0</v>
      </c>
      <c r="AE23" s="12">
        <v>3000</v>
      </c>
      <c r="AF23" s="12">
        <v>0</v>
      </c>
      <c r="AG23" s="12">
        <v>3000</v>
      </c>
      <c r="AH23" s="12"/>
      <c r="AI23" s="12"/>
    </row>
    <row r="24" spans="1:41" ht="39.6" hidden="1" x14ac:dyDescent="0.65">
      <c r="B24" s="14">
        <v>45494</v>
      </c>
      <c r="C24" s="40" t="s">
        <v>29</v>
      </c>
      <c r="D24" s="38">
        <f t="shared" si="5"/>
        <v>0</v>
      </c>
      <c r="E24" s="12">
        <v>10000</v>
      </c>
      <c r="F24" s="18">
        <f t="shared" si="0"/>
        <v>0</v>
      </c>
      <c r="G24" s="16">
        <f t="shared" si="6"/>
        <v>10000</v>
      </c>
      <c r="H24" s="22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20"/>
      <c r="V24" s="15"/>
      <c r="W24" s="15"/>
      <c r="X24" s="12">
        <v>1000</v>
      </c>
      <c r="Y24" s="12">
        <v>1000</v>
      </c>
      <c r="Z24" s="12">
        <v>1000</v>
      </c>
      <c r="AA24" s="12">
        <v>0</v>
      </c>
      <c r="AB24" s="12">
        <v>2000</v>
      </c>
      <c r="AC24" s="12">
        <v>1000</v>
      </c>
      <c r="AD24" s="12">
        <v>1000</v>
      </c>
      <c r="AE24" s="12">
        <v>0</v>
      </c>
      <c r="AF24" s="12">
        <v>2000</v>
      </c>
      <c r="AG24" s="12">
        <v>1000</v>
      </c>
      <c r="AH24" s="12"/>
      <c r="AI24" s="12"/>
    </row>
    <row r="25" spans="1:41" ht="39.6" hidden="1" x14ac:dyDescent="0.65">
      <c r="B25" s="14">
        <v>45494</v>
      </c>
      <c r="C25" s="40" t="s">
        <v>30</v>
      </c>
      <c r="D25" s="38">
        <f t="shared" si="5"/>
        <v>0</v>
      </c>
      <c r="E25" s="12">
        <v>10000</v>
      </c>
      <c r="F25" s="18">
        <f t="shared" si="0"/>
        <v>0</v>
      </c>
      <c r="G25" s="16">
        <f t="shared" si="6"/>
        <v>10000</v>
      </c>
      <c r="H25" s="22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20"/>
      <c r="V25" s="15"/>
      <c r="W25" s="15"/>
      <c r="X25" s="16">
        <v>0</v>
      </c>
      <c r="Y25" s="16">
        <v>0</v>
      </c>
      <c r="Z25" s="16">
        <v>2500</v>
      </c>
      <c r="AA25" s="16">
        <v>0</v>
      </c>
      <c r="AB25" s="16">
        <v>1500</v>
      </c>
      <c r="AC25" s="12">
        <v>1000</v>
      </c>
      <c r="AD25" s="12">
        <v>0</v>
      </c>
      <c r="AE25" s="12">
        <v>2000</v>
      </c>
      <c r="AF25" s="12">
        <v>2000</v>
      </c>
      <c r="AG25" s="12">
        <v>1000</v>
      </c>
      <c r="AH25" s="12"/>
      <c r="AI25" s="12"/>
    </row>
    <row r="26" spans="1:41" s="30" customFormat="1" ht="39.6" hidden="1" x14ac:dyDescent="0.65">
      <c r="A26" s="41"/>
      <c r="B26" s="23">
        <v>45494</v>
      </c>
      <c r="C26" s="40" t="s">
        <v>31</v>
      </c>
      <c r="D26" s="43"/>
      <c r="E26" s="25">
        <v>5000</v>
      </c>
      <c r="F26" s="26">
        <f t="shared" si="0"/>
        <v>0</v>
      </c>
      <c r="G26" s="16">
        <f t="shared" si="2"/>
        <v>5000</v>
      </c>
      <c r="H26" s="21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9"/>
      <c r="V26" s="29"/>
      <c r="W26" s="29"/>
      <c r="X26" s="30">
        <v>500</v>
      </c>
      <c r="Y26" s="30">
        <v>500</v>
      </c>
      <c r="Z26" s="30">
        <v>500</v>
      </c>
      <c r="AA26" s="30">
        <v>3500</v>
      </c>
      <c r="AC26" s="12"/>
      <c r="AD26" s="12"/>
      <c r="AE26" s="12"/>
      <c r="AF26" s="12"/>
      <c r="AG26" s="12"/>
      <c r="AH26" s="12"/>
      <c r="AI26" s="12"/>
    </row>
    <row r="27" spans="1:41" ht="39.6" hidden="1" x14ac:dyDescent="0.65">
      <c r="B27" s="14">
        <v>45494</v>
      </c>
      <c r="C27" s="40" t="s">
        <v>32</v>
      </c>
      <c r="D27" s="38">
        <f t="shared" ref="D27:D31" si="7">F27/(E27*0.1)</f>
        <v>0</v>
      </c>
      <c r="E27" s="12">
        <v>10000</v>
      </c>
      <c r="F27" s="18">
        <f t="shared" si="0"/>
        <v>0</v>
      </c>
      <c r="G27" s="16">
        <f t="shared" ref="G27:G31" si="8">SUM(H27:AI27)</f>
        <v>10000</v>
      </c>
      <c r="H27" s="21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9"/>
      <c r="V27" s="15"/>
      <c r="W27" s="15"/>
      <c r="X27" s="16">
        <v>1000</v>
      </c>
      <c r="Y27" s="16">
        <v>1000</v>
      </c>
      <c r="Z27" s="16">
        <v>1000</v>
      </c>
      <c r="AA27" s="16">
        <v>1000</v>
      </c>
      <c r="AB27" s="16">
        <v>1000</v>
      </c>
      <c r="AC27" s="12">
        <v>1000</v>
      </c>
      <c r="AD27" s="12">
        <v>0</v>
      </c>
      <c r="AE27" s="12">
        <v>0</v>
      </c>
      <c r="AF27" s="12">
        <v>3000</v>
      </c>
      <c r="AG27" s="12">
        <v>1000</v>
      </c>
      <c r="AH27" s="12"/>
      <c r="AI27" s="12"/>
    </row>
    <row r="28" spans="1:41" ht="39.6" hidden="1" x14ac:dyDescent="0.65">
      <c r="B28" s="14">
        <v>45494</v>
      </c>
      <c r="C28" s="40" t="s">
        <v>4</v>
      </c>
      <c r="D28" s="47">
        <f t="shared" si="7"/>
        <v>0</v>
      </c>
      <c r="E28" s="49">
        <v>10000</v>
      </c>
      <c r="F28" s="18">
        <f t="shared" si="0"/>
        <v>0</v>
      </c>
      <c r="G28" s="16">
        <f>SUM(H28:AR28)</f>
        <v>10000</v>
      </c>
      <c r="H28" s="21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9"/>
      <c r="V28" s="15"/>
      <c r="W28" s="15"/>
      <c r="X28" s="16">
        <v>0</v>
      </c>
      <c r="Y28" s="16">
        <v>2000</v>
      </c>
      <c r="Z28" s="16">
        <v>0</v>
      </c>
      <c r="AA28" s="16">
        <v>0</v>
      </c>
      <c r="AB28" s="16">
        <v>2000</v>
      </c>
      <c r="AC28" s="12">
        <v>0</v>
      </c>
      <c r="AD28" s="12">
        <v>0</v>
      </c>
      <c r="AE28" s="12">
        <v>0</v>
      </c>
      <c r="AF28" s="12">
        <v>0</v>
      </c>
      <c r="AG28" s="12">
        <v>5000</v>
      </c>
      <c r="AH28" s="12">
        <v>0</v>
      </c>
      <c r="AI28" s="12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1000</v>
      </c>
      <c r="AO28" s="16">
        <v>0</v>
      </c>
    </row>
    <row r="29" spans="1:41" ht="39.6" hidden="1" x14ac:dyDescent="0.65">
      <c r="B29" s="14">
        <v>45508</v>
      </c>
      <c r="C29" s="40" t="s">
        <v>18</v>
      </c>
      <c r="D29" s="47">
        <f t="shared" si="7"/>
        <v>0</v>
      </c>
      <c r="E29" s="49">
        <v>10000</v>
      </c>
      <c r="F29" s="18">
        <f t="shared" si="0"/>
        <v>0</v>
      </c>
      <c r="G29" s="16">
        <f t="shared" si="8"/>
        <v>10000</v>
      </c>
      <c r="H29" s="21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9"/>
      <c r="V29" s="15"/>
      <c r="W29" s="15"/>
      <c r="X29" s="15"/>
      <c r="Y29" s="16">
        <v>0</v>
      </c>
      <c r="Z29" s="16">
        <v>1000</v>
      </c>
      <c r="AA29" s="16">
        <v>1000</v>
      </c>
      <c r="AB29" s="16">
        <v>1000</v>
      </c>
      <c r="AC29" s="12">
        <v>1000</v>
      </c>
      <c r="AD29" s="12">
        <v>1000</v>
      </c>
      <c r="AE29" s="12">
        <v>1000</v>
      </c>
      <c r="AF29" s="12">
        <v>1000</v>
      </c>
      <c r="AG29" s="12">
        <v>1000</v>
      </c>
      <c r="AH29" s="12">
        <v>2000</v>
      </c>
      <c r="AI29" s="12">
        <v>0</v>
      </c>
    </row>
    <row r="30" spans="1:41" ht="39.6" hidden="1" x14ac:dyDescent="0.65">
      <c r="B30" s="14">
        <v>45508</v>
      </c>
      <c r="C30" s="40" t="s">
        <v>33</v>
      </c>
      <c r="D30" s="38">
        <f t="shared" si="7"/>
        <v>0</v>
      </c>
      <c r="E30" s="12">
        <v>5000</v>
      </c>
      <c r="F30" s="18">
        <f t="shared" si="0"/>
        <v>0</v>
      </c>
      <c r="G30" s="16">
        <f t="shared" si="8"/>
        <v>5000</v>
      </c>
      <c r="H30" s="21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9"/>
      <c r="V30" s="15"/>
      <c r="W30" s="15"/>
      <c r="X30" s="15"/>
      <c r="Y30" s="16">
        <v>500</v>
      </c>
      <c r="Z30" s="16">
        <v>500</v>
      </c>
      <c r="AA30" s="16">
        <v>500</v>
      </c>
      <c r="AB30" s="16">
        <v>500</v>
      </c>
      <c r="AC30" s="12">
        <v>500</v>
      </c>
      <c r="AD30" s="12">
        <v>500</v>
      </c>
      <c r="AE30" s="12">
        <v>500</v>
      </c>
      <c r="AF30" s="12">
        <v>500</v>
      </c>
      <c r="AG30" s="12">
        <v>1000</v>
      </c>
      <c r="AH30" s="12"/>
      <c r="AI30" s="12"/>
    </row>
    <row r="31" spans="1:41" ht="39.6" hidden="1" x14ac:dyDescent="0.65">
      <c r="B31" s="14">
        <v>45508</v>
      </c>
      <c r="C31" s="40" t="s">
        <v>34</v>
      </c>
      <c r="D31" s="38">
        <f t="shared" si="7"/>
        <v>0</v>
      </c>
      <c r="E31" s="12">
        <v>15000</v>
      </c>
      <c r="F31" s="18">
        <f t="shared" si="0"/>
        <v>0</v>
      </c>
      <c r="G31" s="16">
        <f t="shared" si="8"/>
        <v>15000</v>
      </c>
      <c r="H31" s="21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9"/>
      <c r="V31" s="15"/>
      <c r="W31" s="15"/>
      <c r="X31" s="15"/>
      <c r="Z31" s="16">
        <v>3000</v>
      </c>
      <c r="AA31" s="16">
        <v>0</v>
      </c>
      <c r="AB31" s="16">
        <v>3000</v>
      </c>
      <c r="AC31" s="12">
        <v>3000</v>
      </c>
      <c r="AD31" s="12">
        <v>0</v>
      </c>
      <c r="AE31" s="12">
        <v>6000</v>
      </c>
      <c r="AF31" s="12"/>
      <c r="AG31" s="12"/>
      <c r="AH31" s="12"/>
      <c r="AI31" s="12"/>
    </row>
    <row r="32" spans="1:41" s="28" customFormat="1" ht="39.6" hidden="1" x14ac:dyDescent="0.65">
      <c r="A32" s="17"/>
      <c r="B32" s="25"/>
      <c r="C32" s="40"/>
      <c r="D32" s="24"/>
      <c r="E32" s="25"/>
      <c r="F32" s="26">
        <f t="shared" si="0"/>
        <v>0</v>
      </c>
      <c r="G32" s="16">
        <f t="shared" si="2"/>
        <v>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29"/>
      <c r="W32" s="29"/>
      <c r="X32" s="29"/>
      <c r="Y32" s="30"/>
      <c r="Z32" s="30"/>
      <c r="AA32" s="30"/>
      <c r="AC32" s="12"/>
      <c r="AD32" s="12"/>
      <c r="AE32" s="12"/>
      <c r="AF32" s="12"/>
      <c r="AG32" s="12"/>
      <c r="AH32" s="12"/>
      <c r="AI32" s="12"/>
    </row>
    <row r="33" spans="1:38" s="11" customFormat="1" ht="39.6" hidden="1" x14ac:dyDescent="0.65">
      <c r="A33" s="13"/>
      <c r="B33" s="12"/>
      <c r="C33" s="40"/>
      <c r="D33" s="8"/>
      <c r="E33" s="12"/>
      <c r="F33" s="18">
        <f t="shared" si="0"/>
        <v>0</v>
      </c>
      <c r="G33" s="16">
        <f t="shared" si="2"/>
        <v>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5"/>
      <c r="W33" s="15"/>
      <c r="X33" s="15"/>
      <c r="Y33" s="16"/>
      <c r="Z33" s="16"/>
      <c r="AA33" s="16"/>
      <c r="AC33" s="12"/>
      <c r="AD33" s="12"/>
      <c r="AE33" s="12"/>
      <c r="AF33" s="12"/>
      <c r="AG33" s="12"/>
      <c r="AH33" s="12"/>
      <c r="AI33" s="12"/>
    </row>
    <row r="34" spans="1:38" s="11" customFormat="1" ht="39.6" hidden="1" x14ac:dyDescent="0.65">
      <c r="A34" s="13"/>
      <c r="B34" s="12"/>
      <c r="C34" s="40"/>
      <c r="D34" s="8"/>
      <c r="E34" s="12"/>
      <c r="F34" s="18">
        <f t="shared" si="0"/>
        <v>0</v>
      </c>
      <c r="G34" s="16">
        <f t="shared" si="2"/>
        <v>0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5"/>
      <c r="W34" s="15"/>
      <c r="X34" s="15"/>
      <c r="Y34" s="16"/>
      <c r="Z34" s="16"/>
      <c r="AA34" s="16"/>
      <c r="AC34" s="12"/>
      <c r="AD34" s="12"/>
      <c r="AE34" s="12"/>
      <c r="AF34" s="12"/>
      <c r="AG34" s="12"/>
      <c r="AH34" s="12"/>
      <c r="AI34" s="12"/>
    </row>
    <row r="35" spans="1:38" ht="39.6" hidden="1" x14ac:dyDescent="0.65">
      <c r="B35" s="31">
        <v>45522</v>
      </c>
      <c r="C35" s="40" t="s">
        <v>36</v>
      </c>
      <c r="D35" s="47">
        <f t="shared" ref="D35:D38" si="9">F35/(E35*0.1)</f>
        <v>0</v>
      </c>
      <c r="E35" s="50">
        <v>5000</v>
      </c>
      <c r="F35" s="18">
        <f t="shared" si="0"/>
        <v>0</v>
      </c>
      <c r="G35" s="16">
        <f>SUM(H35:EF35)</f>
        <v>5000</v>
      </c>
      <c r="V35" s="15"/>
      <c r="W35" s="15"/>
      <c r="X35" s="15"/>
      <c r="Y35" s="15"/>
      <c r="Z35" s="15"/>
      <c r="AA35" s="16">
        <v>500</v>
      </c>
      <c r="AB35" s="16">
        <v>500</v>
      </c>
      <c r="AC35" s="12">
        <v>500</v>
      </c>
      <c r="AD35" s="12">
        <v>500</v>
      </c>
      <c r="AE35" s="12">
        <v>500</v>
      </c>
      <c r="AF35" s="12">
        <v>500</v>
      </c>
      <c r="AG35" s="12">
        <v>500</v>
      </c>
      <c r="AH35" s="12">
        <v>500</v>
      </c>
      <c r="AI35" s="12">
        <v>500</v>
      </c>
      <c r="AJ35" s="16">
        <v>500</v>
      </c>
    </row>
    <row r="36" spans="1:38" ht="39.6" hidden="1" x14ac:dyDescent="0.65">
      <c r="B36" s="31">
        <v>45522</v>
      </c>
      <c r="C36" s="40" t="s">
        <v>22</v>
      </c>
      <c r="D36" s="47">
        <f t="shared" si="9"/>
        <v>0</v>
      </c>
      <c r="E36" s="50">
        <v>5000</v>
      </c>
      <c r="F36" s="18">
        <f t="shared" si="0"/>
        <v>0</v>
      </c>
      <c r="G36" s="16">
        <f t="shared" ref="G36:G37" si="10">SUM(H36:AR36)</f>
        <v>5000</v>
      </c>
      <c r="V36" s="15"/>
      <c r="W36" s="15"/>
      <c r="X36" s="15"/>
      <c r="Y36" s="15"/>
      <c r="Z36" s="15"/>
      <c r="AA36" s="16">
        <v>500</v>
      </c>
      <c r="AB36" s="16">
        <v>500</v>
      </c>
      <c r="AC36" s="12">
        <v>500</v>
      </c>
      <c r="AD36" s="12">
        <v>0</v>
      </c>
      <c r="AE36" s="12">
        <v>500</v>
      </c>
      <c r="AF36" s="12">
        <v>500</v>
      </c>
      <c r="AG36" s="12">
        <v>500</v>
      </c>
      <c r="AH36" s="12">
        <v>500</v>
      </c>
      <c r="AI36" s="12">
        <v>500</v>
      </c>
      <c r="AJ36" s="16">
        <v>0</v>
      </c>
      <c r="AK36" s="16">
        <v>0</v>
      </c>
      <c r="AL36" s="16">
        <v>1000</v>
      </c>
    </row>
    <row r="37" spans="1:38" ht="39.6" hidden="1" x14ac:dyDescent="0.65">
      <c r="B37" s="31">
        <v>45522</v>
      </c>
      <c r="C37" s="40" t="s">
        <v>31</v>
      </c>
      <c r="D37" s="47">
        <f t="shared" si="9"/>
        <v>0</v>
      </c>
      <c r="E37" s="50">
        <v>10000</v>
      </c>
      <c r="F37" s="18">
        <f t="shared" si="0"/>
        <v>0</v>
      </c>
      <c r="G37" s="16">
        <f t="shared" si="10"/>
        <v>10000</v>
      </c>
      <c r="V37" s="15"/>
      <c r="W37" s="15"/>
      <c r="X37" s="15"/>
      <c r="Y37" s="15"/>
      <c r="Z37" s="15"/>
      <c r="AA37" s="15"/>
      <c r="AB37" s="16">
        <v>1000</v>
      </c>
      <c r="AC37" s="12">
        <v>0</v>
      </c>
      <c r="AD37" s="12">
        <v>1500</v>
      </c>
      <c r="AE37" s="12">
        <v>0</v>
      </c>
      <c r="AF37" s="12">
        <v>1000</v>
      </c>
      <c r="AG37" s="12">
        <v>0</v>
      </c>
      <c r="AH37" s="12">
        <v>1000</v>
      </c>
      <c r="AI37" s="12">
        <v>1000</v>
      </c>
      <c r="AJ37" s="16">
        <v>500</v>
      </c>
      <c r="AL37" s="16">
        <v>4000</v>
      </c>
    </row>
    <row r="38" spans="1:38" ht="39.6" hidden="1" x14ac:dyDescent="0.65">
      <c r="B38" s="31">
        <v>45522</v>
      </c>
      <c r="C38" s="40" t="s">
        <v>37</v>
      </c>
      <c r="D38" s="47">
        <f t="shared" si="9"/>
        <v>0</v>
      </c>
      <c r="E38" s="50">
        <v>10000</v>
      </c>
      <c r="F38" s="18">
        <f t="shared" si="0"/>
        <v>0</v>
      </c>
      <c r="G38" s="16">
        <f t="shared" ref="G38" si="11">SUM(H38:AI38)</f>
        <v>10000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6">
        <v>1000</v>
      </c>
      <c r="AC38" s="12">
        <v>1000</v>
      </c>
      <c r="AD38" s="12">
        <v>0</v>
      </c>
      <c r="AE38" s="12">
        <v>2000</v>
      </c>
      <c r="AF38" s="12">
        <v>0</v>
      </c>
      <c r="AG38" s="12">
        <v>2000</v>
      </c>
      <c r="AH38" s="12">
        <v>1000</v>
      </c>
      <c r="AI38" s="12">
        <v>3000</v>
      </c>
      <c r="AJ38" s="16">
        <v>0</v>
      </c>
    </row>
    <row r="39" spans="1:38" s="30" customFormat="1" ht="39.6" hidden="1" x14ac:dyDescent="0.65">
      <c r="A39" s="41"/>
      <c r="C39" s="40"/>
      <c r="D39" s="42"/>
      <c r="F39" s="26">
        <f t="shared" si="0"/>
        <v>0</v>
      </c>
      <c r="G39" s="16">
        <f t="shared" si="2"/>
        <v>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C39" s="12"/>
      <c r="AD39" s="12"/>
      <c r="AE39" s="12"/>
      <c r="AF39" s="12"/>
      <c r="AG39" s="12"/>
      <c r="AH39" s="12"/>
      <c r="AI39" s="12"/>
    </row>
    <row r="40" spans="1:38" ht="39.6" hidden="1" x14ac:dyDescent="0.65">
      <c r="C40" s="40"/>
      <c r="D40" s="40"/>
      <c r="E40" s="16"/>
      <c r="F40" s="18">
        <f t="shared" si="0"/>
        <v>0</v>
      </c>
      <c r="G40" s="16">
        <f t="shared" si="2"/>
        <v>0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C40" s="12"/>
      <c r="AD40" s="12"/>
      <c r="AE40" s="12"/>
      <c r="AF40" s="12"/>
      <c r="AG40" s="12"/>
      <c r="AH40" s="12"/>
      <c r="AI40" s="12"/>
    </row>
    <row r="41" spans="1:38" ht="39.6" hidden="1" x14ac:dyDescent="0.65">
      <c r="C41" s="40"/>
      <c r="D41" s="40"/>
      <c r="E41" s="16"/>
      <c r="F41" s="18">
        <f t="shared" si="0"/>
        <v>0</v>
      </c>
      <c r="G41" s="16">
        <f t="shared" si="2"/>
        <v>0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C41" s="12"/>
      <c r="AD41" s="12"/>
      <c r="AE41" s="12"/>
      <c r="AF41" s="12"/>
      <c r="AG41" s="12"/>
      <c r="AH41" s="12"/>
      <c r="AI41" s="12"/>
    </row>
    <row r="42" spans="1:38" ht="39.6" hidden="1" x14ac:dyDescent="0.65">
      <c r="C42" s="40"/>
      <c r="D42" s="40"/>
      <c r="E42" s="16"/>
      <c r="F42" s="18">
        <f t="shared" si="0"/>
        <v>0</v>
      </c>
      <c r="G42" s="16">
        <f t="shared" si="2"/>
        <v>0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C42" s="12"/>
      <c r="AD42" s="12"/>
      <c r="AE42" s="12"/>
      <c r="AF42" s="12"/>
      <c r="AG42" s="12"/>
      <c r="AH42" s="12"/>
      <c r="AI42" s="12"/>
    </row>
    <row r="43" spans="1:38" ht="39.6" hidden="1" x14ac:dyDescent="0.65">
      <c r="C43" s="40"/>
      <c r="D43" s="40"/>
      <c r="E43" s="16"/>
      <c r="F43" s="18">
        <f t="shared" si="0"/>
        <v>0</v>
      </c>
      <c r="G43" s="16">
        <f t="shared" si="2"/>
        <v>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C43" s="12"/>
      <c r="AD43" s="12"/>
      <c r="AE43" s="12"/>
      <c r="AF43" s="12"/>
      <c r="AG43" s="12"/>
      <c r="AH43" s="12"/>
      <c r="AI43" s="12"/>
    </row>
    <row r="44" spans="1:38" ht="39.6" hidden="1" x14ac:dyDescent="0.65">
      <c r="C44" s="40"/>
      <c r="D44" s="40"/>
      <c r="E44" s="16"/>
      <c r="F44" s="18">
        <f t="shared" si="0"/>
        <v>0</v>
      </c>
      <c r="G44" s="16">
        <f t="shared" si="2"/>
        <v>0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C44" s="12"/>
      <c r="AD44" s="12"/>
      <c r="AE44" s="12"/>
      <c r="AF44" s="12"/>
      <c r="AG44" s="12"/>
      <c r="AH44" s="12"/>
      <c r="AI44" s="12"/>
    </row>
    <row r="45" spans="1:38" ht="39.6" hidden="1" x14ac:dyDescent="0.65">
      <c r="C45" s="40"/>
      <c r="D45" s="40"/>
      <c r="E45" s="16"/>
      <c r="F45" s="18">
        <f t="shared" si="0"/>
        <v>0</v>
      </c>
      <c r="G45" s="16">
        <f t="shared" si="2"/>
        <v>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C45" s="12"/>
      <c r="AD45" s="12"/>
      <c r="AE45" s="12"/>
      <c r="AF45" s="12"/>
      <c r="AG45" s="12"/>
      <c r="AH45" s="12"/>
      <c r="AI45" s="12"/>
    </row>
    <row r="46" spans="1:38" ht="39.6" hidden="1" x14ac:dyDescent="0.65">
      <c r="C46" s="40"/>
      <c r="D46" s="40"/>
      <c r="E46" s="16"/>
      <c r="F46" s="18">
        <f t="shared" si="0"/>
        <v>0</v>
      </c>
      <c r="G46" s="16">
        <f t="shared" si="2"/>
        <v>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C46" s="12"/>
      <c r="AD46" s="12"/>
      <c r="AE46" s="12"/>
      <c r="AF46" s="12"/>
      <c r="AG46" s="12"/>
      <c r="AH46" s="12"/>
      <c r="AI46" s="12"/>
    </row>
    <row r="47" spans="1:38" ht="39.6" hidden="1" x14ac:dyDescent="0.65">
      <c r="C47" s="40"/>
      <c r="D47" s="40"/>
      <c r="E47" s="16"/>
      <c r="F47" s="18">
        <f t="shared" si="0"/>
        <v>0</v>
      </c>
      <c r="G47" s="16">
        <f t="shared" si="2"/>
        <v>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C47" s="12"/>
      <c r="AD47" s="12"/>
      <c r="AE47" s="12"/>
      <c r="AF47" s="12"/>
      <c r="AG47" s="12"/>
      <c r="AH47" s="12"/>
      <c r="AI47" s="12"/>
    </row>
    <row r="48" spans="1:38" ht="39.6" hidden="1" x14ac:dyDescent="0.65">
      <c r="C48" s="40"/>
      <c r="D48" s="40"/>
      <c r="E48" s="16"/>
      <c r="F48" s="18">
        <f t="shared" si="0"/>
        <v>0</v>
      </c>
      <c r="G48" s="16">
        <f t="shared" si="2"/>
        <v>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C48" s="12"/>
      <c r="AD48" s="12"/>
      <c r="AE48" s="12"/>
      <c r="AF48" s="12"/>
      <c r="AG48" s="12"/>
      <c r="AH48" s="12"/>
      <c r="AI48" s="12"/>
    </row>
    <row r="49" spans="2:38" ht="39.6" hidden="1" x14ac:dyDescent="0.65">
      <c r="C49" s="40"/>
      <c r="D49" s="40"/>
      <c r="E49" s="16"/>
      <c r="F49" s="18">
        <f t="shared" si="0"/>
        <v>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C49" s="12"/>
      <c r="AD49" s="12"/>
      <c r="AE49" s="12"/>
      <c r="AF49" s="12"/>
      <c r="AG49" s="12"/>
      <c r="AH49" s="12"/>
      <c r="AI49" s="12"/>
    </row>
    <row r="50" spans="2:38" ht="39.6" hidden="1" x14ac:dyDescent="0.65">
      <c r="B50" s="31">
        <v>45529</v>
      </c>
      <c r="C50" s="40" t="s">
        <v>25</v>
      </c>
      <c r="D50" s="47">
        <f t="shared" ref="D50:D51" si="12">F50/(E50*0.1)</f>
        <v>0</v>
      </c>
      <c r="E50" s="50">
        <v>10000</v>
      </c>
      <c r="F50" s="18">
        <f t="shared" si="0"/>
        <v>0</v>
      </c>
      <c r="G50" s="16">
        <f t="shared" ref="G50:G51" si="13">SUM(H50:AR50)</f>
        <v>10000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6">
        <v>0</v>
      </c>
      <c r="AC50" s="12">
        <v>1000</v>
      </c>
      <c r="AD50" s="12">
        <v>0</v>
      </c>
      <c r="AE50" s="12">
        <v>2000</v>
      </c>
      <c r="AF50" s="12">
        <v>0</v>
      </c>
      <c r="AG50" s="12">
        <v>0</v>
      </c>
      <c r="AH50" s="12">
        <v>2000</v>
      </c>
      <c r="AI50" s="12">
        <v>0</v>
      </c>
      <c r="AJ50" s="16">
        <v>0</v>
      </c>
      <c r="AK50" s="16">
        <v>1000</v>
      </c>
      <c r="AL50" s="16">
        <v>4000</v>
      </c>
    </row>
    <row r="51" spans="2:38" ht="39.6" hidden="1" x14ac:dyDescent="0.65">
      <c r="B51" s="31">
        <v>45529</v>
      </c>
      <c r="C51" s="40" t="s">
        <v>20</v>
      </c>
      <c r="D51" s="47">
        <f t="shared" si="12"/>
        <v>0</v>
      </c>
      <c r="E51" s="50">
        <v>30000</v>
      </c>
      <c r="F51" s="18">
        <f t="shared" si="0"/>
        <v>0</v>
      </c>
      <c r="G51" s="16">
        <f t="shared" si="13"/>
        <v>30000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6">
        <v>0</v>
      </c>
      <c r="AC51" s="12">
        <v>3000</v>
      </c>
      <c r="AD51" s="12">
        <v>3000</v>
      </c>
      <c r="AE51" s="12">
        <v>3000</v>
      </c>
      <c r="AF51" s="12">
        <v>3000</v>
      </c>
      <c r="AG51" s="12">
        <v>3000</v>
      </c>
      <c r="AH51" s="12">
        <v>3000</v>
      </c>
      <c r="AI51" s="12">
        <v>3000</v>
      </c>
      <c r="AJ51" s="16">
        <v>0</v>
      </c>
      <c r="AK51" s="16">
        <v>9000</v>
      </c>
    </row>
    <row r="52" spans="2:38" ht="39.6" hidden="1" x14ac:dyDescent="0.65">
      <c r="C52" s="40"/>
      <c r="E52" s="16"/>
      <c r="F52" s="18">
        <f t="shared" si="0"/>
        <v>0</v>
      </c>
      <c r="G52" s="16">
        <f t="shared" si="2"/>
        <v>0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2:38" ht="39.6" hidden="1" x14ac:dyDescent="0.65">
      <c r="C53" s="40"/>
      <c r="E53" s="16"/>
      <c r="F53" s="18">
        <f t="shared" si="0"/>
        <v>0</v>
      </c>
      <c r="G53" s="16">
        <f t="shared" si="2"/>
        <v>0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2:38" ht="39.6" hidden="1" x14ac:dyDescent="0.65">
      <c r="C54" s="40"/>
      <c r="E54" s="16"/>
      <c r="F54" s="18">
        <f t="shared" si="0"/>
        <v>0</v>
      </c>
      <c r="G54" s="16">
        <f t="shared" si="2"/>
        <v>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2:38" ht="39.6" hidden="1" x14ac:dyDescent="0.65">
      <c r="C55" s="40"/>
      <c r="E55" s="16"/>
      <c r="F55" s="18">
        <f t="shared" si="0"/>
        <v>0</v>
      </c>
      <c r="G55" s="16">
        <f t="shared" si="2"/>
        <v>0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2:38" ht="39.6" hidden="1" x14ac:dyDescent="0.65">
      <c r="C56" s="40"/>
      <c r="E56" s="16"/>
      <c r="F56" s="18">
        <f t="shared" si="0"/>
        <v>0</v>
      </c>
      <c r="G56" s="16">
        <f t="shared" si="2"/>
        <v>0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2:38" ht="39.6" hidden="1" x14ac:dyDescent="0.65">
      <c r="C57" s="40"/>
      <c r="E57" s="16"/>
      <c r="F57" s="18">
        <f t="shared" si="0"/>
        <v>0</v>
      </c>
      <c r="G57" s="16">
        <f t="shared" si="2"/>
        <v>0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2:38" ht="39.6" hidden="1" x14ac:dyDescent="0.65">
      <c r="C58" s="40"/>
      <c r="E58" s="16"/>
      <c r="F58" s="18">
        <f t="shared" si="0"/>
        <v>0</v>
      </c>
      <c r="G58" s="16">
        <f t="shared" si="2"/>
        <v>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2:38" ht="39.6" hidden="1" x14ac:dyDescent="0.65">
      <c r="C59" s="40"/>
      <c r="E59" s="16"/>
      <c r="F59" s="18">
        <f t="shared" si="0"/>
        <v>0</v>
      </c>
      <c r="G59" s="16">
        <f t="shared" si="2"/>
        <v>0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2:38" ht="39.6" hidden="1" x14ac:dyDescent="0.65">
      <c r="C60" s="40"/>
      <c r="E60" s="16"/>
      <c r="F60" s="18">
        <f t="shared" si="0"/>
        <v>0</v>
      </c>
      <c r="G60" s="16">
        <f t="shared" si="2"/>
        <v>0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2:38" ht="39.6" hidden="1" x14ac:dyDescent="0.65">
      <c r="C61" s="40"/>
      <c r="E61" s="16"/>
      <c r="F61" s="18">
        <f t="shared" si="0"/>
        <v>0</v>
      </c>
      <c r="G61" s="16">
        <f t="shared" si="2"/>
        <v>0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2:38" ht="39.6" hidden="1" x14ac:dyDescent="0.65">
      <c r="C62" s="40"/>
      <c r="E62" s="16"/>
      <c r="F62" s="18">
        <f t="shared" si="0"/>
        <v>0</v>
      </c>
      <c r="G62" s="16">
        <f t="shared" si="2"/>
        <v>0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2:38" ht="39.6" hidden="1" x14ac:dyDescent="0.65">
      <c r="C63" s="40"/>
      <c r="E63" s="16"/>
      <c r="F63" s="18">
        <f t="shared" si="0"/>
        <v>0</v>
      </c>
      <c r="G63" s="16">
        <f t="shared" si="2"/>
        <v>0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2:38" ht="39.6" hidden="1" x14ac:dyDescent="0.65">
      <c r="C64" s="40"/>
      <c r="E64" s="16"/>
      <c r="F64" s="18">
        <f t="shared" si="0"/>
        <v>0</v>
      </c>
      <c r="G64" s="16">
        <f t="shared" si="2"/>
        <v>0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2:38" ht="39.6" hidden="1" x14ac:dyDescent="0.65">
      <c r="C65" s="40"/>
      <c r="E65" s="16"/>
      <c r="F65" s="18">
        <f t="shared" si="0"/>
        <v>0</v>
      </c>
      <c r="G65" s="16">
        <f t="shared" si="2"/>
        <v>0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2:38" ht="39.6" hidden="1" x14ac:dyDescent="0.65">
      <c r="C66" s="40"/>
      <c r="E66" s="16"/>
      <c r="F66" s="18">
        <f t="shared" si="0"/>
        <v>0</v>
      </c>
      <c r="G66" s="16">
        <f t="shared" si="2"/>
        <v>0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2:38" ht="39.6" hidden="1" x14ac:dyDescent="0.65">
      <c r="B67" s="31">
        <v>45536</v>
      </c>
      <c r="C67" s="40" t="s">
        <v>39</v>
      </c>
      <c r="D67" s="47">
        <f t="shared" ref="D67:D68" si="14">F67/(E67*0.1)</f>
        <v>0</v>
      </c>
      <c r="E67" s="50">
        <v>10000</v>
      </c>
      <c r="F67" s="18">
        <f t="shared" si="0"/>
        <v>0</v>
      </c>
      <c r="G67" s="16">
        <f t="shared" ref="G67:G68" si="15">SUM(H67:AR67)</f>
        <v>10000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6">
        <v>0</v>
      </c>
      <c r="AC67" s="16">
        <v>0</v>
      </c>
      <c r="AD67" s="16">
        <v>1000</v>
      </c>
      <c r="AE67" s="16">
        <v>1000</v>
      </c>
      <c r="AF67" s="16">
        <v>1000</v>
      </c>
      <c r="AG67" s="16">
        <v>1000</v>
      </c>
      <c r="AH67" s="16">
        <v>1000</v>
      </c>
      <c r="AI67" s="16">
        <v>1000</v>
      </c>
      <c r="AJ67" s="16">
        <v>1000</v>
      </c>
      <c r="AK67" s="16">
        <v>1000</v>
      </c>
      <c r="AL67" s="16">
        <v>2000</v>
      </c>
    </row>
    <row r="68" spans="2:38" ht="39.6" hidden="1" x14ac:dyDescent="0.65">
      <c r="B68" s="31">
        <v>45536</v>
      </c>
      <c r="C68" s="40" t="s">
        <v>26</v>
      </c>
      <c r="D68" s="47">
        <f t="shared" si="14"/>
        <v>0</v>
      </c>
      <c r="E68" s="50">
        <v>10000</v>
      </c>
      <c r="F68" s="18">
        <f t="shared" ref="F68" si="16">E68-G68</f>
        <v>0</v>
      </c>
      <c r="G68" s="16">
        <f t="shared" si="15"/>
        <v>10000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6">
        <v>0</v>
      </c>
      <c r="AC68" s="16">
        <v>0</v>
      </c>
      <c r="AD68" s="16">
        <v>1000</v>
      </c>
      <c r="AE68" s="16">
        <v>1000</v>
      </c>
      <c r="AF68" s="16">
        <v>1000</v>
      </c>
      <c r="AG68" s="16">
        <v>1000</v>
      </c>
      <c r="AH68" s="16">
        <v>1000</v>
      </c>
      <c r="AI68" s="16">
        <v>1000</v>
      </c>
      <c r="AJ68" s="16">
        <v>1000</v>
      </c>
      <c r="AK68" s="16">
        <v>1000</v>
      </c>
      <c r="AL68" s="16">
        <v>2000</v>
      </c>
    </row>
    <row r="69" spans="2:38" ht="39.6" hidden="1" x14ac:dyDescent="0.65">
      <c r="C69" s="40"/>
      <c r="E69" s="16"/>
      <c r="F69" s="18">
        <f t="shared" ref="F69:F87" si="17">E69-G69</f>
        <v>0</v>
      </c>
      <c r="G69" s="16">
        <f t="shared" ref="G69:G111" si="18">SUM(H69:AD69)</f>
        <v>0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2:38" ht="39.6" hidden="1" x14ac:dyDescent="0.65">
      <c r="C70" s="40"/>
      <c r="E70" s="16"/>
      <c r="F70" s="18">
        <f t="shared" si="17"/>
        <v>0</v>
      </c>
      <c r="G70" s="16">
        <f t="shared" si="18"/>
        <v>0</v>
      </c>
    </row>
    <row r="71" spans="2:38" ht="39.6" hidden="1" x14ac:dyDescent="0.65">
      <c r="C71" s="40"/>
      <c r="E71" s="16"/>
      <c r="F71" s="18">
        <f t="shared" si="17"/>
        <v>0</v>
      </c>
      <c r="G71" s="16">
        <f t="shared" si="18"/>
        <v>0</v>
      </c>
    </row>
    <row r="72" spans="2:38" ht="39.6" hidden="1" x14ac:dyDescent="0.65">
      <c r="C72" s="40"/>
      <c r="E72" s="16"/>
      <c r="F72" s="18">
        <f t="shared" si="17"/>
        <v>0</v>
      </c>
      <c r="G72" s="16">
        <f t="shared" si="18"/>
        <v>0</v>
      </c>
    </row>
    <row r="73" spans="2:38" ht="39.6" hidden="1" x14ac:dyDescent="0.65">
      <c r="C73" s="40"/>
      <c r="E73" s="16"/>
      <c r="F73" s="18">
        <f t="shared" si="17"/>
        <v>0</v>
      </c>
      <c r="G73" s="16">
        <f t="shared" si="18"/>
        <v>0</v>
      </c>
    </row>
    <row r="74" spans="2:38" ht="39.6" hidden="1" x14ac:dyDescent="0.65">
      <c r="C74" s="40"/>
      <c r="E74" s="16"/>
      <c r="F74" s="18">
        <f t="shared" si="17"/>
        <v>0</v>
      </c>
      <c r="G74" s="16">
        <f t="shared" si="18"/>
        <v>0</v>
      </c>
    </row>
    <row r="75" spans="2:38" ht="39.6" hidden="1" x14ac:dyDescent="0.65">
      <c r="C75" s="40"/>
      <c r="E75" s="16"/>
      <c r="F75" s="18">
        <f t="shared" si="17"/>
        <v>0</v>
      </c>
      <c r="G75" s="16">
        <f t="shared" si="18"/>
        <v>0</v>
      </c>
    </row>
    <row r="76" spans="2:38" ht="39.6" hidden="1" x14ac:dyDescent="0.65">
      <c r="C76" s="40"/>
      <c r="E76" s="16"/>
      <c r="F76" s="18">
        <f t="shared" si="17"/>
        <v>0</v>
      </c>
      <c r="G76" s="16">
        <f t="shared" si="18"/>
        <v>0</v>
      </c>
    </row>
    <row r="77" spans="2:38" ht="39.6" hidden="1" x14ac:dyDescent="0.65">
      <c r="C77" s="40"/>
      <c r="E77" s="16"/>
      <c r="F77" s="18">
        <f t="shared" si="17"/>
        <v>0</v>
      </c>
      <c r="G77" s="16">
        <f t="shared" si="18"/>
        <v>0</v>
      </c>
    </row>
    <row r="78" spans="2:38" ht="39.6" hidden="1" x14ac:dyDescent="0.65">
      <c r="C78" s="40"/>
      <c r="E78" s="16"/>
      <c r="F78" s="18">
        <f t="shared" si="17"/>
        <v>0</v>
      </c>
      <c r="G78" s="16">
        <f t="shared" si="18"/>
        <v>0</v>
      </c>
    </row>
    <row r="79" spans="2:38" ht="39.6" hidden="1" x14ac:dyDescent="0.65">
      <c r="C79" s="40"/>
      <c r="E79" s="16"/>
      <c r="F79" s="18">
        <f t="shared" si="17"/>
        <v>0</v>
      </c>
      <c r="G79" s="16">
        <f t="shared" si="18"/>
        <v>0</v>
      </c>
    </row>
    <row r="80" spans="2:38" ht="39.6" hidden="1" x14ac:dyDescent="0.65">
      <c r="C80" s="40"/>
      <c r="E80" s="16"/>
      <c r="F80" s="18">
        <f t="shared" si="17"/>
        <v>0</v>
      </c>
      <c r="G80" s="16">
        <f t="shared" si="18"/>
        <v>0</v>
      </c>
    </row>
    <row r="81" spans="3:7" ht="39.6" hidden="1" x14ac:dyDescent="0.65">
      <c r="C81" s="40"/>
      <c r="E81" s="16"/>
      <c r="F81" s="18">
        <f t="shared" si="17"/>
        <v>0</v>
      </c>
      <c r="G81" s="16">
        <f t="shared" si="18"/>
        <v>0</v>
      </c>
    </row>
    <row r="82" spans="3:7" ht="39.6" hidden="1" x14ac:dyDescent="0.65">
      <c r="C82" s="40"/>
      <c r="E82" s="16"/>
      <c r="F82" s="18">
        <f t="shared" si="17"/>
        <v>0</v>
      </c>
      <c r="G82" s="16">
        <f t="shared" si="18"/>
        <v>0</v>
      </c>
    </row>
    <row r="83" spans="3:7" ht="39.6" hidden="1" x14ac:dyDescent="0.65">
      <c r="C83" s="40"/>
      <c r="E83" s="16"/>
      <c r="F83" s="18">
        <f t="shared" si="17"/>
        <v>0</v>
      </c>
      <c r="G83" s="16">
        <f t="shared" si="18"/>
        <v>0</v>
      </c>
    </row>
    <row r="84" spans="3:7" ht="39.6" hidden="1" x14ac:dyDescent="0.65">
      <c r="C84" s="40"/>
      <c r="E84" s="16"/>
      <c r="F84" s="18">
        <f t="shared" si="17"/>
        <v>0</v>
      </c>
      <c r="G84" s="16">
        <f t="shared" si="18"/>
        <v>0</v>
      </c>
    </row>
    <row r="85" spans="3:7" ht="39.6" hidden="1" x14ac:dyDescent="0.65">
      <c r="C85" s="40"/>
      <c r="E85" s="16"/>
      <c r="F85" s="18">
        <f t="shared" si="17"/>
        <v>0</v>
      </c>
      <c r="G85" s="16">
        <f t="shared" si="18"/>
        <v>0</v>
      </c>
    </row>
    <row r="86" spans="3:7" ht="39.6" hidden="1" x14ac:dyDescent="0.65">
      <c r="C86" s="40"/>
      <c r="E86" s="16"/>
      <c r="F86" s="18">
        <f t="shared" si="17"/>
        <v>0</v>
      </c>
      <c r="G86" s="16">
        <f t="shared" si="18"/>
        <v>0</v>
      </c>
    </row>
    <row r="87" spans="3:7" ht="39.6" hidden="1" x14ac:dyDescent="0.65">
      <c r="C87" s="40"/>
      <c r="E87" s="16"/>
      <c r="F87" s="18">
        <f t="shared" si="17"/>
        <v>0</v>
      </c>
      <c r="G87" s="16">
        <f t="shared" si="18"/>
        <v>0</v>
      </c>
    </row>
    <row r="88" spans="3:7" ht="39.6" hidden="1" x14ac:dyDescent="0.65">
      <c r="C88" s="40"/>
      <c r="E88" s="16"/>
      <c r="F88" s="18">
        <f t="shared" ref="F88:F160" si="19">E88-G88</f>
        <v>0</v>
      </c>
      <c r="G88" s="16">
        <f t="shared" si="18"/>
        <v>0</v>
      </c>
    </row>
    <row r="89" spans="3:7" ht="39.6" hidden="1" x14ac:dyDescent="0.65">
      <c r="C89" s="40"/>
      <c r="E89" s="16"/>
      <c r="F89" s="18">
        <f t="shared" si="19"/>
        <v>0</v>
      </c>
      <c r="G89" s="16">
        <f t="shared" si="18"/>
        <v>0</v>
      </c>
    </row>
    <row r="90" spans="3:7" ht="39.6" hidden="1" x14ac:dyDescent="0.65">
      <c r="C90" s="40"/>
      <c r="E90" s="16"/>
      <c r="F90" s="18">
        <f t="shared" si="19"/>
        <v>0</v>
      </c>
      <c r="G90" s="16">
        <f t="shared" si="18"/>
        <v>0</v>
      </c>
    </row>
    <row r="91" spans="3:7" ht="39.6" hidden="1" x14ac:dyDescent="0.65">
      <c r="C91" s="40"/>
      <c r="E91" s="16"/>
      <c r="F91" s="18">
        <f t="shared" si="19"/>
        <v>0</v>
      </c>
      <c r="G91" s="16">
        <f t="shared" si="18"/>
        <v>0</v>
      </c>
    </row>
    <row r="92" spans="3:7" ht="39.6" hidden="1" x14ac:dyDescent="0.65">
      <c r="C92" s="40"/>
      <c r="E92" s="16"/>
      <c r="F92" s="18">
        <f t="shared" si="19"/>
        <v>0</v>
      </c>
      <c r="G92" s="16">
        <f t="shared" si="18"/>
        <v>0</v>
      </c>
    </row>
    <row r="93" spans="3:7" ht="39.6" hidden="1" x14ac:dyDescent="0.65">
      <c r="C93" s="40"/>
      <c r="E93" s="16"/>
      <c r="F93" s="18">
        <f t="shared" si="19"/>
        <v>0</v>
      </c>
      <c r="G93" s="16">
        <f t="shared" si="18"/>
        <v>0</v>
      </c>
    </row>
    <row r="94" spans="3:7" ht="39.6" hidden="1" x14ac:dyDescent="0.65">
      <c r="C94" s="40"/>
      <c r="E94" s="16"/>
      <c r="F94" s="18">
        <f t="shared" si="19"/>
        <v>0</v>
      </c>
      <c r="G94" s="16">
        <f t="shared" si="18"/>
        <v>0</v>
      </c>
    </row>
    <row r="95" spans="3:7" ht="39.6" hidden="1" x14ac:dyDescent="0.65">
      <c r="C95" s="40"/>
      <c r="E95" s="16"/>
      <c r="F95" s="18">
        <f t="shared" si="19"/>
        <v>0</v>
      </c>
      <c r="G95" s="16">
        <f t="shared" si="18"/>
        <v>0</v>
      </c>
    </row>
    <row r="96" spans="3:7" ht="39.6" hidden="1" x14ac:dyDescent="0.65">
      <c r="C96" s="40"/>
      <c r="E96" s="16"/>
      <c r="F96" s="18">
        <f t="shared" si="19"/>
        <v>0</v>
      </c>
      <c r="G96" s="16">
        <f t="shared" si="18"/>
        <v>0</v>
      </c>
    </row>
    <row r="97" spans="3:7" ht="39.6" hidden="1" x14ac:dyDescent="0.65">
      <c r="C97" s="40"/>
      <c r="E97" s="16"/>
      <c r="F97" s="18">
        <f t="shared" si="19"/>
        <v>0</v>
      </c>
      <c r="G97" s="16">
        <f t="shared" si="18"/>
        <v>0</v>
      </c>
    </row>
    <row r="98" spans="3:7" ht="39.6" hidden="1" x14ac:dyDescent="0.65">
      <c r="C98" s="40"/>
      <c r="E98" s="16"/>
      <c r="F98" s="18">
        <f t="shared" si="19"/>
        <v>0</v>
      </c>
      <c r="G98" s="16">
        <f t="shared" si="18"/>
        <v>0</v>
      </c>
    </row>
    <row r="99" spans="3:7" ht="39.6" hidden="1" x14ac:dyDescent="0.65">
      <c r="C99" s="40"/>
      <c r="E99" s="16"/>
      <c r="F99" s="18">
        <f t="shared" si="19"/>
        <v>0</v>
      </c>
      <c r="G99" s="16">
        <f t="shared" si="18"/>
        <v>0</v>
      </c>
    </row>
    <row r="100" spans="3:7" ht="39.6" hidden="1" x14ac:dyDescent="0.65">
      <c r="C100" s="40"/>
      <c r="E100" s="16"/>
      <c r="F100" s="18">
        <f t="shared" si="19"/>
        <v>0</v>
      </c>
      <c r="G100" s="16">
        <f t="shared" si="18"/>
        <v>0</v>
      </c>
    </row>
    <row r="101" spans="3:7" ht="39.6" hidden="1" x14ac:dyDescent="0.65">
      <c r="C101" s="40"/>
      <c r="E101" s="16"/>
      <c r="F101" s="18">
        <f t="shared" si="19"/>
        <v>0</v>
      </c>
      <c r="G101" s="16">
        <f t="shared" si="18"/>
        <v>0</v>
      </c>
    </row>
    <row r="102" spans="3:7" ht="39.6" hidden="1" x14ac:dyDescent="0.65">
      <c r="C102" s="40"/>
      <c r="E102" s="16"/>
      <c r="F102" s="18">
        <f t="shared" si="19"/>
        <v>0</v>
      </c>
      <c r="G102" s="16">
        <f t="shared" si="18"/>
        <v>0</v>
      </c>
    </row>
    <row r="103" spans="3:7" ht="39.6" hidden="1" x14ac:dyDescent="0.65">
      <c r="C103" s="40"/>
      <c r="E103" s="16"/>
      <c r="F103" s="18">
        <f t="shared" si="19"/>
        <v>0</v>
      </c>
      <c r="G103" s="16">
        <f t="shared" si="18"/>
        <v>0</v>
      </c>
    </row>
    <row r="104" spans="3:7" ht="39.6" hidden="1" x14ac:dyDescent="0.65">
      <c r="C104" s="40"/>
      <c r="E104" s="16"/>
      <c r="F104" s="18">
        <f t="shared" si="19"/>
        <v>0</v>
      </c>
      <c r="G104" s="16">
        <f t="shared" si="18"/>
        <v>0</v>
      </c>
    </row>
    <row r="105" spans="3:7" ht="39.6" hidden="1" x14ac:dyDescent="0.65">
      <c r="C105" s="40"/>
      <c r="E105" s="16"/>
      <c r="F105" s="18">
        <f t="shared" si="19"/>
        <v>0</v>
      </c>
      <c r="G105" s="16">
        <f t="shared" si="18"/>
        <v>0</v>
      </c>
    </row>
    <row r="106" spans="3:7" ht="39.6" hidden="1" x14ac:dyDescent="0.65">
      <c r="C106" s="40"/>
      <c r="E106" s="16"/>
      <c r="F106" s="18">
        <f t="shared" si="19"/>
        <v>0</v>
      </c>
      <c r="G106" s="16">
        <f t="shared" si="18"/>
        <v>0</v>
      </c>
    </row>
    <row r="107" spans="3:7" ht="39.6" hidden="1" x14ac:dyDescent="0.65">
      <c r="C107" s="40"/>
      <c r="E107" s="16"/>
      <c r="F107" s="18">
        <f t="shared" si="19"/>
        <v>0</v>
      </c>
      <c r="G107" s="16">
        <f t="shared" si="18"/>
        <v>0</v>
      </c>
    </row>
    <row r="108" spans="3:7" ht="39.6" hidden="1" x14ac:dyDescent="0.65">
      <c r="C108" s="40"/>
      <c r="E108" s="16"/>
      <c r="F108" s="18">
        <f t="shared" si="19"/>
        <v>0</v>
      </c>
      <c r="G108" s="16">
        <f t="shared" si="18"/>
        <v>0</v>
      </c>
    </row>
    <row r="109" spans="3:7" ht="39.6" hidden="1" x14ac:dyDescent="0.65">
      <c r="C109" s="40"/>
      <c r="E109" s="16"/>
      <c r="F109" s="18">
        <f t="shared" si="19"/>
        <v>0</v>
      </c>
      <c r="G109" s="16">
        <f t="shared" si="18"/>
        <v>0</v>
      </c>
    </row>
    <row r="110" spans="3:7" ht="39.6" hidden="1" x14ac:dyDescent="0.65">
      <c r="C110" s="40"/>
      <c r="E110" s="16"/>
      <c r="F110" s="18">
        <f t="shared" si="19"/>
        <v>0</v>
      </c>
      <c r="G110" s="16">
        <f t="shared" si="18"/>
        <v>0</v>
      </c>
    </row>
    <row r="111" spans="3:7" ht="39.6" hidden="1" x14ac:dyDescent="0.65">
      <c r="C111" s="40"/>
      <c r="E111" s="16"/>
      <c r="F111" s="18">
        <f t="shared" si="19"/>
        <v>0</v>
      </c>
      <c r="G111" s="16">
        <f t="shared" si="18"/>
        <v>0</v>
      </c>
    </row>
    <row r="112" spans="3:7" ht="39.6" hidden="1" x14ac:dyDescent="0.65">
      <c r="C112" s="40"/>
      <c r="E112" s="16"/>
      <c r="F112" s="18">
        <f t="shared" si="19"/>
        <v>0</v>
      </c>
    </row>
    <row r="113" spans="2:46" ht="39.6" hidden="1" x14ac:dyDescent="0.65">
      <c r="C113" s="40"/>
      <c r="E113" s="16"/>
      <c r="F113" s="18">
        <f t="shared" si="19"/>
        <v>0</v>
      </c>
    </row>
    <row r="114" spans="2:46" ht="39.6" hidden="1" x14ac:dyDescent="0.65">
      <c r="C114" s="40"/>
      <c r="E114" s="16"/>
      <c r="F114" s="18">
        <f t="shared" si="19"/>
        <v>0</v>
      </c>
    </row>
    <row r="115" spans="2:46" ht="39.6" hidden="1" x14ac:dyDescent="0.65">
      <c r="C115" s="40"/>
      <c r="E115" s="16"/>
      <c r="F115" s="18">
        <f t="shared" si="19"/>
        <v>0</v>
      </c>
    </row>
    <row r="116" spans="2:46" ht="39.6" hidden="1" x14ac:dyDescent="0.65">
      <c r="C116" s="40"/>
      <c r="E116" s="16"/>
      <c r="F116" s="18">
        <f t="shared" si="19"/>
        <v>0</v>
      </c>
    </row>
    <row r="117" spans="2:46" ht="39.6" hidden="1" x14ac:dyDescent="0.65">
      <c r="C117" s="40"/>
      <c r="E117" s="16"/>
      <c r="F117" s="18">
        <f t="shared" si="19"/>
        <v>0</v>
      </c>
    </row>
    <row r="118" spans="2:46" ht="39.6" hidden="1" x14ac:dyDescent="0.65">
      <c r="C118" s="40"/>
      <c r="E118" s="16"/>
      <c r="F118" s="18">
        <f t="shared" si="19"/>
        <v>0</v>
      </c>
    </row>
    <row r="119" spans="2:46" ht="39.6" hidden="1" x14ac:dyDescent="0.65">
      <c r="B119" s="31">
        <v>45543</v>
      </c>
      <c r="C119" s="40" t="s">
        <v>40</v>
      </c>
      <c r="D119" s="47">
        <f t="shared" ref="D119:D167" si="20">F119/(E119*0.1)</f>
        <v>0</v>
      </c>
      <c r="E119" s="50">
        <v>10000</v>
      </c>
      <c r="F119" s="18">
        <f>E119-G119</f>
        <v>0</v>
      </c>
      <c r="G119" s="16">
        <f>SUM(H119:BJ119)</f>
        <v>10000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6">
        <v>1000</v>
      </c>
      <c r="AF119" s="16">
        <v>1000</v>
      </c>
      <c r="AG119" s="16">
        <v>1000</v>
      </c>
      <c r="AH119" s="16">
        <v>1000</v>
      </c>
      <c r="AI119" s="16">
        <v>0</v>
      </c>
      <c r="AJ119" s="16">
        <v>1000</v>
      </c>
      <c r="AK119" s="16">
        <v>0</v>
      </c>
      <c r="AL119" s="16">
        <v>0</v>
      </c>
      <c r="AM119" s="16">
        <v>1000</v>
      </c>
      <c r="AN119" s="16">
        <v>0</v>
      </c>
      <c r="AO119" s="16">
        <v>1000</v>
      </c>
      <c r="AP119" s="16">
        <v>2000</v>
      </c>
      <c r="AQ119" s="16">
        <v>0</v>
      </c>
      <c r="AR119" s="16">
        <v>0</v>
      </c>
      <c r="AS119" s="16">
        <v>0</v>
      </c>
      <c r="AT119" s="16">
        <v>1000</v>
      </c>
    </row>
    <row r="120" spans="2:46" ht="39.6" hidden="1" x14ac:dyDescent="0.65">
      <c r="C120" s="40"/>
      <c r="D120" s="38" t="e">
        <f t="shared" si="20"/>
        <v>#DIV/0!</v>
      </c>
      <c r="E120" s="16"/>
      <c r="F120" s="18">
        <f t="shared" si="19"/>
        <v>0</v>
      </c>
      <c r="G120" s="16">
        <f t="shared" ref="G120:G131" si="21">SUM(H120:AD120)</f>
        <v>0</v>
      </c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2:46" ht="39.6" hidden="1" x14ac:dyDescent="0.65">
      <c r="C121" s="40"/>
      <c r="D121" s="38" t="e">
        <f t="shared" si="20"/>
        <v>#DIV/0!</v>
      </c>
      <c r="E121" s="16"/>
      <c r="F121" s="18">
        <f t="shared" si="19"/>
        <v>0</v>
      </c>
      <c r="G121" s="16">
        <f t="shared" si="21"/>
        <v>0</v>
      </c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2:46" ht="39.6" hidden="1" x14ac:dyDescent="0.65">
      <c r="C122" s="40"/>
      <c r="D122" s="38" t="e">
        <f t="shared" si="20"/>
        <v>#DIV/0!</v>
      </c>
      <c r="E122" s="16"/>
      <c r="F122" s="18">
        <f t="shared" si="19"/>
        <v>0</v>
      </c>
      <c r="G122" s="16">
        <f t="shared" si="21"/>
        <v>0</v>
      </c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2:46" ht="39.6" hidden="1" x14ac:dyDescent="0.65">
      <c r="C123" s="40"/>
      <c r="D123" s="38" t="e">
        <f t="shared" si="20"/>
        <v>#DIV/0!</v>
      </c>
      <c r="E123" s="16"/>
      <c r="F123" s="18">
        <f t="shared" si="19"/>
        <v>0</v>
      </c>
      <c r="G123" s="16">
        <f t="shared" si="21"/>
        <v>0</v>
      </c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2:46" ht="39.6" hidden="1" x14ac:dyDescent="0.65">
      <c r="C124" s="40"/>
      <c r="D124" s="38" t="e">
        <f t="shared" si="20"/>
        <v>#DIV/0!</v>
      </c>
      <c r="E124" s="16"/>
      <c r="F124" s="18">
        <f t="shared" si="19"/>
        <v>0</v>
      </c>
      <c r="G124" s="16">
        <f t="shared" si="21"/>
        <v>0</v>
      </c>
      <c r="V124" s="15"/>
      <c r="W124" s="15"/>
      <c r="X124" s="15"/>
      <c r="Y124" s="15"/>
      <c r="Z124" s="15"/>
      <c r="AA124" s="15"/>
      <c r="AB124" s="15"/>
      <c r="AC124" s="15"/>
      <c r="AD124" s="15"/>
    </row>
    <row r="125" spans="2:46" ht="39.6" hidden="1" x14ac:dyDescent="0.65">
      <c r="C125" s="40"/>
      <c r="D125" s="38" t="e">
        <f t="shared" si="20"/>
        <v>#DIV/0!</v>
      </c>
      <c r="E125" s="16"/>
      <c r="F125" s="18">
        <f t="shared" si="19"/>
        <v>0</v>
      </c>
      <c r="G125" s="16">
        <f t="shared" si="21"/>
        <v>0</v>
      </c>
      <c r="V125" s="15"/>
      <c r="W125" s="15"/>
      <c r="X125" s="15"/>
      <c r="Y125" s="15"/>
      <c r="Z125" s="15"/>
      <c r="AA125" s="15"/>
      <c r="AB125" s="15"/>
      <c r="AC125" s="15"/>
      <c r="AD125" s="15"/>
    </row>
    <row r="126" spans="2:46" ht="39.6" hidden="1" x14ac:dyDescent="0.65">
      <c r="C126" s="40"/>
      <c r="D126" s="38" t="e">
        <f t="shared" si="20"/>
        <v>#DIV/0!</v>
      </c>
      <c r="E126" s="16"/>
      <c r="F126" s="18">
        <f t="shared" si="19"/>
        <v>0</v>
      </c>
      <c r="G126" s="16">
        <f t="shared" si="21"/>
        <v>0</v>
      </c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2:46" ht="39.6" hidden="1" x14ac:dyDescent="0.65">
      <c r="C127" s="40"/>
      <c r="D127" s="38" t="e">
        <f t="shared" si="20"/>
        <v>#DIV/0!</v>
      </c>
      <c r="E127" s="16"/>
      <c r="F127" s="18">
        <f t="shared" si="19"/>
        <v>0</v>
      </c>
      <c r="G127" s="16">
        <f t="shared" si="21"/>
        <v>0</v>
      </c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2:46" ht="39.6" hidden="1" x14ac:dyDescent="0.65">
      <c r="C128" s="40"/>
      <c r="D128" s="38" t="e">
        <f t="shared" si="20"/>
        <v>#DIV/0!</v>
      </c>
      <c r="E128" s="16"/>
      <c r="F128" s="18">
        <f t="shared" si="19"/>
        <v>0</v>
      </c>
      <c r="G128" s="16">
        <f t="shared" si="21"/>
        <v>0</v>
      </c>
      <c r="V128" s="15"/>
      <c r="W128" s="15"/>
      <c r="X128" s="15"/>
      <c r="Y128" s="15"/>
      <c r="Z128" s="15"/>
      <c r="AA128" s="15"/>
      <c r="AB128" s="15"/>
      <c r="AC128" s="15"/>
      <c r="AD128" s="15"/>
    </row>
    <row r="129" spans="1:55" ht="39.6" hidden="1" x14ac:dyDescent="0.65">
      <c r="C129" s="40"/>
      <c r="D129" s="38" t="e">
        <f t="shared" si="20"/>
        <v>#DIV/0!</v>
      </c>
      <c r="E129" s="16"/>
      <c r="F129" s="18">
        <f t="shared" si="19"/>
        <v>0</v>
      </c>
      <c r="G129" s="16">
        <f t="shared" si="21"/>
        <v>0</v>
      </c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55" ht="39.6" hidden="1" x14ac:dyDescent="0.65">
      <c r="C130" s="40"/>
      <c r="D130" s="38" t="e">
        <f t="shared" si="20"/>
        <v>#DIV/0!</v>
      </c>
      <c r="E130" s="16"/>
      <c r="F130" s="18">
        <f t="shared" si="19"/>
        <v>0</v>
      </c>
      <c r="G130" s="16">
        <f t="shared" si="21"/>
        <v>0</v>
      </c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55" ht="39.6" hidden="1" x14ac:dyDescent="0.65">
      <c r="C131" s="40"/>
      <c r="D131" s="38" t="e">
        <f t="shared" si="20"/>
        <v>#DIV/0!</v>
      </c>
      <c r="E131" s="16"/>
      <c r="F131" s="18">
        <f t="shared" si="19"/>
        <v>0</v>
      </c>
      <c r="G131" s="16">
        <f t="shared" si="21"/>
        <v>0</v>
      </c>
      <c r="V131" s="15"/>
      <c r="W131" s="15"/>
      <c r="X131" s="15"/>
      <c r="Y131" s="15"/>
      <c r="Z131" s="15"/>
      <c r="AA131" s="15"/>
      <c r="AB131" s="15"/>
      <c r="AC131" s="15"/>
      <c r="AD131" s="15"/>
    </row>
    <row r="132" spans="1:55" ht="39.6" hidden="1" x14ac:dyDescent="0.65">
      <c r="B132" s="31">
        <v>45551</v>
      </c>
      <c r="C132" s="40" t="s">
        <v>6</v>
      </c>
      <c r="D132" s="47">
        <f t="shared" si="20"/>
        <v>0</v>
      </c>
      <c r="E132" s="50">
        <v>20000</v>
      </c>
      <c r="F132" s="18">
        <f t="shared" si="19"/>
        <v>0</v>
      </c>
      <c r="G132" s="16">
        <f t="shared" ref="G132:G141" si="22">SUM(H132:AR132)</f>
        <v>20000</v>
      </c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6">
        <v>2000</v>
      </c>
      <c r="AG132" s="16">
        <v>2000</v>
      </c>
      <c r="AH132" s="16">
        <v>2000</v>
      </c>
      <c r="AI132" s="16">
        <v>2000</v>
      </c>
      <c r="AJ132" s="16">
        <v>2000</v>
      </c>
      <c r="AK132" s="16">
        <v>2000</v>
      </c>
      <c r="AL132" s="16">
        <v>0</v>
      </c>
      <c r="AM132" s="16">
        <v>4000</v>
      </c>
      <c r="AN132" s="16">
        <v>0</v>
      </c>
      <c r="AO132" s="16">
        <v>4000</v>
      </c>
      <c r="AP132" s="16">
        <v>0</v>
      </c>
    </row>
    <row r="133" spans="1:55" ht="39.6" hidden="1" x14ac:dyDescent="0.65">
      <c r="B133" s="31">
        <v>45551</v>
      </c>
      <c r="C133" s="40" t="s">
        <v>34</v>
      </c>
      <c r="D133" s="47">
        <f t="shared" si="20"/>
        <v>0</v>
      </c>
      <c r="E133" s="50">
        <v>15000</v>
      </c>
      <c r="F133" s="18">
        <f t="shared" si="19"/>
        <v>0</v>
      </c>
      <c r="G133" s="16">
        <f t="shared" si="22"/>
        <v>15000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6">
        <v>3000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12000</v>
      </c>
    </row>
    <row r="134" spans="1:55" ht="39.6" hidden="1" x14ac:dyDescent="0.65">
      <c r="B134" s="31">
        <v>45551</v>
      </c>
      <c r="C134" s="40" t="s">
        <v>41</v>
      </c>
      <c r="D134" s="47">
        <f t="shared" si="20"/>
        <v>0</v>
      </c>
      <c r="E134" s="50">
        <v>5000</v>
      </c>
      <c r="F134" s="18">
        <f t="shared" si="19"/>
        <v>0</v>
      </c>
      <c r="G134" s="16">
        <f t="shared" ref="G134:G135" si="23">SUM(H134:BJ134)</f>
        <v>5000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6">
        <v>500</v>
      </c>
      <c r="AG134" s="16">
        <v>0</v>
      </c>
      <c r="AH134" s="16">
        <v>500</v>
      </c>
      <c r="AI134" s="16">
        <v>0</v>
      </c>
      <c r="AJ134" s="16">
        <v>0</v>
      </c>
      <c r="AK134" s="16">
        <v>1000</v>
      </c>
      <c r="AL134" s="16">
        <v>0</v>
      </c>
      <c r="AM134" s="16">
        <v>0</v>
      </c>
      <c r="AN134" s="16">
        <v>0</v>
      </c>
      <c r="AO134" s="16">
        <v>1000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2000</v>
      </c>
    </row>
    <row r="135" spans="1:55" ht="39.6" hidden="1" x14ac:dyDescent="0.65">
      <c r="B135" s="31">
        <v>45551</v>
      </c>
      <c r="C135" s="40" t="s">
        <v>42</v>
      </c>
      <c r="D135" s="47">
        <f t="shared" si="20"/>
        <v>0</v>
      </c>
      <c r="E135" s="50">
        <v>5000</v>
      </c>
      <c r="F135" s="18">
        <f t="shared" si="19"/>
        <v>0</v>
      </c>
      <c r="G135" s="16">
        <f t="shared" si="23"/>
        <v>5000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6">
        <v>500</v>
      </c>
      <c r="AG135" s="16">
        <v>500</v>
      </c>
      <c r="AH135" s="16">
        <v>0</v>
      </c>
      <c r="AI135" s="16">
        <v>0</v>
      </c>
      <c r="AJ135" s="16">
        <v>0</v>
      </c>
      <c r="AK135" s="16">
        <v>1000</v>
      </c>
      <c r="AL135" s="16">
        <v>0</v>
      </c>
      <c r="AM135" s="16">
        <v>0</v>
      </c>
      <c r="AN135" s="16">
        <v>0</v>
      </c>
      <c r="AO135" s="16">
        <v>1000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2000</v>
      </c>
    </row>
    <row r="136" spans="1:55" ht="39.6" hidden="1" x14ac:dyDescent="0.65">
      <c r="B136" s="31">
        <v>45557</v>
      </c>
      <c r="C136" s="40" t="s">
        <v>43</v>
      </c>
      <c r="D136" s="47">
        <f t="shared" si="20"/>
        <v>0</v>
      </c>
      <c r="E136" s="50">
        <v>5000</v>
      </c>
      <c r="F136" s="18">
        <f t="shared" si="19"/>
        <v>0</v>
      </c>
      <c r="G136" s="16">
        <f t="shared" si="22"/>
        <v>5000</v>
      </c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6">
        <v>0</v>
      </c>
      <c r="AG136" s="16">
        <v>500</v>
      </c>
      <c r="AH136" s="16">
        <v>500</v>
      </c>
      <c r="AJ136" s="16">
        <v>1000</v>
      </c>
      <c r="AK136" s="16">
        <v>0</v>
      </c>
      <c r="AL136" s="16">
        <v>500</v>
      </c>
      <c r="AM136" s="16">
        <v>500</v>
      </c>
      <c r="AN136" s="16">
        <v>1000</v>
      </c>
      <c r="AO136" s="16">
        <v>500</v>
      </c>
      <c r="AP136" s="16">
        <v>500</v>
      </c>
    </row>
    <row r="137" spans="1:55" ht="39.6" hidden="1" x14ac:dyDescent="0.65">
      <c r="B137" s="31">
        <v>45557</v>
      </c>
      <c r="C137" s="40" t="s">
        <v>44</v>
      </c>
      <c r="D137" s="48">
        <f t="shared" si="20"/>
        <v>0</v>
      </c>
      <c r="E137" s="50">
        <v>10000</v>
      </c>
      <c r="F137" s="18">
        <f t="shared" si="19"/>
        <v>0</v>
      </c>
      <c r="G137" s="16">
        <f t="shared" si="22"/>
        <v>10000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6">
        <v>0</v>
      </c>
      <c r="AG137" s="16">
        <v>1000</v>
      </c>
      <c r="AH137" s="16">
        <v>1000</v>
      </c>
      <c r="AI137" s="16">
        <v>1000</v>
      </c>
      <c r="AJ137" s="16">
        <v>1000</v>
      </c>
      <c r="AK137" s="16">
        <v>1000</v>
      </c>
      <c r="AL137" s="16">
        <v>1000</v>
      </c>
      <c r="AM137" s="16">
        <v>1000</v>
      </c>
      <c r="AN137" s="16">
        <v>1000</v>
      </c>
      <c r="AO137" s="16">
        <v>1000</v>
      </c>
      <c r="AP137" s="16">
        <v>1000</v>
      </c>
    </row>
    <row r="138" spans="1:55" ht="39.6" hidden="1" x14ac:dyDescent="0.65">
      <c r="B138" s="31">
        <v>45564</v>
      </c>
      <c r="C138" s="40" t="s">
        <v>32</v>
      </c>
      <c r="D138" s="48">
        <f t="shared" si="20"/>
        <v>0</v>
      </c>
      <c r="E138" s="50">
        <v>10000</v>
      </c>
      <c r="F138" s="18">
        <f t="shared" si="19"/>
        <v>0</v>
      </c>
      <c r="G138" s="16">
        <f t="shared" si="22"/>
        <v>10000</v>
      </c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6">
        <v>1000</v>
      </c>
      <c r="AI138" s="16">
        <v>0</v>
      </c>
      <c r="AJ138" s="16">
        <v>2000</v>
      </c>
      <c r="AK138" s="16">
        <v>1000</v>
      </c>
      <c r="AL138" s="16">
        <v>1000</v>
      </c>
      <c r="AM138" s="16">
        <v>0</v>
      </c>
      <c r="AN138" s="16">
        <v>2000</v>
      </c>
      <c r="AO138" s="16">
        <v>0</v>
      </c>
      <c r="AP138" s="16">
        <v>2000</v>
      </c>
      <c r="AQ138" s="16">
        <v>1000</v>
      </c>
    </row>
    <row r="139" spans="1:55" s="54" customFormat="1" ht="39.6" hidden="1" x14ac:dyDescent="0.65">
      <c r="A139" s="51"/>
      <c r="B139" s="52">
        <v>45571</v>
      </c>
      <c r="C139" s="53" t="s">
        <v>29</v>
      </c>
      <c r="D139" s="53">
        <f t="shared" si="20"/>
        <v>0</v>
      </c>
      <c r="E139" s="54">
        <v>20000</v>
      </c>
      <c r="F139" s="18">
        <f t="shared" si="19"/>
        <v>0</v>
      </c>
      <c r="G139" s="16">
        <f t="shared" si="22"/>
        <v>20000</v>
      </c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I139" s="54">
        <v>2000</v>
      </c>
      <c r="AJ139" s="54">
        <v>0</v>
      </c>
      <c r="AK139" s="54">
        <v>2000</v>
      </c>
      <c r="AL139" s="54">
        <v>4000</v>
      </c>
      <c r="AM139" s="54">
        <v>2000</v>
      </c>
      <c r="AN139" s="54">
        <v>0</v>
      </c>
      <c r="AO139" s="54">
        <v>4000</v>
      </c>
      <c r="AP139" s="54">
        <v>2000</v>
      </c>
      <c r="AQ139" s="54">
        <v>0</v>
      </c>
      <c r="AR139" s="54">
        <v>4000</v>
      </c>
    </row>
    <row r="140" spans="1:55" ht="39.6" hidden="1" x14ac:dyDescent="0.65">
      <c r="B140" s="31">
        <v>45578</v>
      </c>
      <c r="C140" s="40" t="s">
        <v>49</v>
      </c>
      <c r="D140" s="40">
        <f t="shared" si="20"/>
        <v>0</v>
      </c>
      <c r="E140" s="16">
        <v>10000</v>
      </c>
      <c r="F140" s="18">
        <f>E140-G140</f>
        <v>0</v>
      </c>
      <c r="G140" s="16">
        <f>SUM(H140:BJ140)</f>
        <v>10000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6">
        <v>1000</v>
      </c>
      <c r="AK140" s="16">
        <v>1000</v>
      </c>
      <c r="AL140" s="16">
        <v>1000</v>
      </c>
      <c r="AM140" s="16">
        <v>0</v>
      </c>
      <c r="AN140" s="16">
        <v>1000</v>
      </c>
      <c r="AO140" s="16">
        <v>2000</v>
      </c>
      <c r="AP140" s="16">
        <v>0</v>
      </c>
      <c r="AQ140" s="16">
        <v>1000</v>
      </c>
      <c r="AR140" s="16">
        <v>1000</v>
      </c>
      <c r="AS140" s="16">
        <v>1000</v>
      </c>
      <c r="AT140" s="16">
        <v>1000</v>
      </c>
    </row>
    <row r="141" spans="1:55" ht="39.6" hidden="1" x14ac:dyDescent="0.65">
      <c r="B141" s="31">
        <v>45578</v>
      </c>
      <c r="C141" s="40" t="s">
        <v>30</v>
      </c>
      <c r="D141" s="40">
        <f>F141/(E141*0.1)</f>
        <v>0</v>
      </c>
      <c r="E141" s="16">
        <v>10000</v>
      </c>
      <c r="F141" s="18">
        <f t="shared" si="19"/>
        <v>0</v>
      </c>
      <c r="G141" s="16">
        <f t="shared" si="22"/>
        <v>10000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6">
        <v>0</v>
      </c>
      <c r="AK141" s="16">
        <v>2000</v>
      </c>
      <c r="AL141" s="16">
        <v>0</v>
      </c>
      <c r="AM141" s="16">
        <v>2000</v>
      </c>
      <c r="AN141" s="16">
        <v>0</v>
      </c>
      <c r="AO141" s="16">
        <v>2000</v>
      </c>
      <c r="AP141" s="16">
        <v>1000</v>
      </c>
      <c r="AQ141" s="16">
        <v>0</v>
      </c>
      <c r="AR141" s="16">
        <v>3000</v>
      </c>
    </row>
    <row r="142" spans="1:55" ht="39.6" hidden="1" x14ac:dyDescent="0.65">
      <c r="C142" s="40"/>
      <c r="D142" s="40" t="e">
        <f t="shared" si="20"/>
        <v>#DIV/0!</v>
      </c>
      <c r="E142" s="16"/>
      <c r="F142" s="18">
        <f t="shared" si="19"/>
        <v>0</v>
      </c>
      <c r="G142" s="16">
        <f t="shared" ref="G142:G143" si="24">SUM(H142:AI142)</f>
        <v>0</v>
      </c>
    </row>
    <row r="143" spans="1:55" ht="39.6" hidden="1" x14ac:dyDescent="0.65">
      <c r="C143" s="40"/>
      <c r="D143" s="40" t="e">
        <f t="shared" si="20"/>
        <v>#DIV/0!</v>
      </c>
      <c r="E143" s="16"/>
      <c r="F143" s="18">
        <f t="shared" si="19"/>
        <v>0</v>
      </c>
      <c r="G143" s="16">
        <f t="shared" si="24"/>
        <v>0</v>
      </c>
    </row>
    <row r="144" spans="1:55" ht="39.6" hidden="1" x14ac:dyDescent="0.65">
      <c r="B144" s="31">
        <v>45585</v>
      </c>
      <c r="C144" s="40" t="s">
        <v>37</v>
      </c>
      <c r="D144" s="40">
        <f t="shared" si="20"/>
        <v>0</v>
      </c>
      <c r="E144" s="16">
        <v>10000</v>
      </c>
      <c r="F144" s="18">
        <f t="shared" si="19"/>
        <v>0</v>
      </c>
      <c r="G144" s="16">
        <f>SUM(H144:BJ144)</f>
        <v>10000</v>
      </c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6">
        <v>1000</v>
      </c>
      <c r="AL144" s="16">
        <v>1000</v>
      </c>
      <c r="AM144" s="16">
        <v>0</v>
      </c>
      <c r="AN144" s="16">
        <v>2000</v>
      </c>
      <c r="AO144" s="16">
        <v>0</v>
      </c>
      <c r="AP144" s="16">
        <v>1000</v>
      </c>
      <c r="AQ144" s="16">
        <v>0</v>
      </c>
      <c r="AR144" s="16">
        <v>1000</v>
      </c>
      <c r="AS144" s="16">
        <v>1000</v>
      </c>
      <c r="AT144" s="16">
        <v>1000</v>
      </c>
      <c r="AU144" s="16">
        <v>0</v>
      </c>
      <c r="AV144" s="16">
        <v>0</v>
      </c>
      <c r="AW144" s="16">
        <v>2000</v>
      </c>
    </row>
    <row r="145" spans="2:89" ht="39.6" hidden="1" x14ac:dyDescent="0.65">
      <c r="B145" s="31">
        <v>45585</v>
      </c>
      <c r="C145" s="40" t="s">
        <v>51</v>
      </c>
      <c r="D145" s="40">
        <f t="shared" si="20"/>
        <v>0</v>
      </c>
      <c r="E145" s="16">
        <v>5000</v>
      </c>
      <c r="F145" s="18">
        <f t="shared" si="19"/>
        <v>0</v>
      </c>
      <c r="G145" s="16">
        <f t="shared" ref="G145" si="25">SUM(H145:AR145)</f>
        <v>5000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6">
        <v>500</v>
      </c>
      <c r="AL145" s="16">
        <v>500</v>
      </c>
      <c r="AM145" s="16">
        <v>500</v>
      </c>
      <c r="AN145" s="16">
        <v>500</v>
      </c>
      <c r="AO145" s="16">
        <v>500</v>
      </c>
      <c r="AP145" s="16">
        <v>500</v>
      </c>
      <c r="AQ145" s="16">
        <v>500</v>
      </c>
      <c r="AR145" s="16">
        <v>1500</v>
      </c>
    </row>
    <row r="146" spans="2:89" ht="39.6" hidden="1" x14ac:dyDescent="0.65">
      <c r="B146" s="31">
        <v>45594</v>
      </c>
      <c r="C146" s="40" t="s">
        <v>53</v>
      </c>
      <c r="D146" s="40">
        <f t="shared" si="20"/>
        <v>0</v>
      </c>
      <c r="E146" s="16">
        <v>30000</v>
      </c>
      <c r="F146" s="18">
        <f t="shared" si="19"/>
        <v>0</v>
      </c>
      <c r="G146" s="16">
        <f t="shared" ref="G146:G209" si="26">SUM(H146:BJ146)</f>
        <v>30000</v>
      </c>
      <c r="AD146" s="15"/>
      <c r="AE146" s="15"/>
      <c r="AF146" s="15"/>
      <c r="AG146" s="15"/>
      <c r="AH146" s="15"/>
      <c r="AI146" s="15"/>
      <c r="AJ146" s="15"/>
      <c r="AK146" s="15"/>
      <c r="AL146" s="16">
        <v>3000</v>
      </c>
      <c r="AM146" s="16">
        <v>3000</v>
      </c>
      <c r="AN146" s="16">
        <v>3000</v>
      </c>
      <c r="AO146" s="16">
        <v>3000</v>
      </c>
      <c r="AP146" s="16">
        <v>3000</v>
      </c>
      <c r="AQ146" s="16">
        <v>3000</v>
      </c>
      <c r="AR146" s="16">
        <v>3000</v>
      </c>
      <c r="AS146" s="16">
        <v>3000</v>
      </c>
      <c r="AT146" s="16">
        <v>6000</v>
      </c>
    </row>
    <row r="147" spans="2:89" ht="39.6" hidden="1" x14ac:dyDescent="0.65">
      <c r="B147" s="31">
        <v>45599</v>
      </c>
      <c r="C147" s="40" t="s">
        <v>54</v>
      </c>
      <c r="D147" s="40">
        <f t="shared" si="20"/>
        <v>0</v>
      </c>
      <c r="E147" s="16">
        <v>10000</v>
      </c>
      <c r="F147" s="18">
        <f t="shared" si="19"/>
        <v>0</v>
      </c>
      <c r="G147" s="16">
        <f t="shared" si="26"/>
        <v>10000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6">
        <v>0</v>
      </c>
      <c r="AN147" s="16">
        <v>1000</v>
      </c>
      <c r="AO147" s="16">
        <v>0</v>
      </c>
      <c r="AP147" s="16">
        <v>2000</v>
      </c>
      <c r="AQ147" s="16">
        <v>0</v>
      </c>
      <c r="AR147" s="16">
        <v>0</v>
      </c>
      <c r="AS147" s="16">
        <v>2000</v>
      </c>
      <c r="AT147" s="16">
        <v>0</v>
      </c>
      <c r="AU147" s="16">
        <v>0</v>
      </c>
      <c r="AV147" s="16">
        <v>0</v>
      </c>
      <c r="AW147" s="16">
        <v>2000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6">
        <v>3000</v>
      </c>
    </row>
    <row r="148" spans="2:89" ht="39.6" hidden="1" x14ac:dyDescent="0.65">
      <c r="B148" s="31">
        <v>45599</v>
      </c>
      <c r="C148" s="40" t="s">
        <v>55</v>
      </c>
      <c r="D148" s="40">
        <f t="shared" si="20"/>
        <v>0</v>
      </c>
      <c r="E148" s="16">
        <v>10000</v>
      </c>
      <c r="F148" s="18">
        <f t="shared" si="19"/>
        <v>0</v>
      </c>
      <c r="G148" s="16">
        <f t="shared" si="26"/>
        <v>10000</v>
      </c>
      <c r="AD148" s="15"/>
      <c r="AE148" s="15"/>
      <c r="AF148" s="15"/>
      <c r="AG148" s="15"/>
      <c r="AH148" s="15"/>
      <c r="AI148" s="15"/>
      <c r="AJ148" s="15"/>
      <c r="AK148" s="15"/>
      <c r="AL148" s="15"/>
      <c r="AM148" s="16">
        <v>1000</v>
      </c>
      <c r="AN148" s="16">
        <v>1000</v>
      </c>
      <c r="AO148" s="16">
        <v>1000</v>
      </c>
      <c r="AP148" s="16">
        <v>1000</v>
      </c>
      <c r="AQ148" s="16">
        <v>1000</v>
      </c>
      <c r="AR148" s="16">
        <v>1000</v>
      </c>
      <c r="AS148" s="16">
        <v>1000</v>
      </c>
      <c r="AT148" s="16">
        <v>1000</v>
      </c>
      <c r="AU148" s="16">
        <v>1000</v>
      </c>
      <c r="AV148" s="16">
        <v>1000</v>
      </c>
    </row>
    <row r="149" spans="2:89" ht="39.6" hidden="1" x14ac:dyDescent="0.65">
      <c r="B149" s="31">
        <v>45599</v>
      </c>
      <c r="C149" s="40" t="s">
        <v>5</v>
      </c>
      <c r="D149" s="40">
        <f t="shared" si="20"/>
        <v>0</v>
      </c>
      <c r="E149" s="16">
        <v>5000</v>
      </c>
      <c r="F149" s="18">
        <f t="shared" si="19"/>
        <v>0</v>
      </c>
      <c r="G149" s="16">
        <f t="shared" si="26"/>
        <v>5000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6">
        <v>500</v>
      </c>
      <c r="AN149" s="16">
        <v>500</v>
      </c>
      <c r="AO149" s="16">
        <v>500</v>
      </c>
      <c r="AP149" s="16">
        <v>500</v>
      </c>
      <c r="AQ149" s="16">
        <v>500</v>
      </c>
      <c r="AR149" s="16">
        <v>500</v>
      </c>
      <c r="AS149" s="16">
        <v>500</v>
      </c>
      <c r="AT149" s="16">
        <v>1500</v>
      </c>
    </row>
    <row r="150" spans="2:89" ht="39.6" hidden="1" x14ac:dyDescent="0.65">
      <c r="B150" s="31">
        <v>45599</v>
      </c>
      <c r="C150" s="40" t="s">
        <v>26</v>
      </c>
      <c r="D150" s="40">
        <f t="shared" si="20"/>
        <v>0</v>
      </c>
      <c r="E150" s="16">
        <v>10000</v>
      </c>
      <c r="F150" s="18">
        <f t="shared" si="19"/>
        <v>0</v>
      </c>
      <c r="G150" s="16">
        <f t="shared" si="26"/>
        <v>10000</v>
      </c>
      <c r="AD150" s="15"/>
      <c r="AE150" s="15"/>
      <c r="AF150" s="15"/>
      <c r="AG150" s="15"/>
      <c r="AH150" s="15"/>
      <c r="AI150" s="15"/>
      <c r="AJ150" s="15"/>
      <c r="AK150" s="15"/>
      <c r="AL150" s="15"/>
      <c r="AM150" s="16">
        <v>1000</v>
      </c>
      <c r="AN150" s="16">
        <v>1000</v>
      </c>
      <c r="AO150" s="16">
        <v>1000</v>
      </c>
      <c r="AP150" s="16">
        <v>1000</v>
      </c>
      <c r="AQ150" s="16">
        <v>1000</v>
      </c>
      <c r="AR150" s="16">
        <v>1000</v>
      </c>
      <c r="AS150" s="16">
        <v>1000</v>
      </c>
      <c r="AT150" s="16">
        <v>3000</v>
      </c>
    </row>
    <row r="151" spans="2:89" ht="39.6" hidden="1" x14ac:dyDescent="0.65">
      <c r="B151" s="31">
        <v>45599</v>
      </c>
      <c r="C151" s="40" t="s">
        <v>25</v>
      </c>
      <c r="D151" s="40">
        <f t="shared" si="20"/>
        <v>0</v>
      </c>
      <c r="E151" s="16">
        <v>20000</v>
      </c>
      <c r="F151" s="18">
        <f t="shared" si="19"/>
        <v>0</v>
      </c>
      <c r="G151" s="16">
        <f t="shared" si="26"/>
        <v>20000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6">
        <v>0</v>
      </c>
      <c r="AN151" s="16">
        <v>2000</v>
      </c>
      <c r="AO151" s="16">
        <v>0</v>
      </c>
      <c r="AP151" s="16">
        <v>2000</v>
      </c>
      <c r="AQ151" s="16">
        <v>2000</v>
      </c>
      <c r="AR151" s="16">
        <v>2000</v>
      </c>
      <c r="AS151" s="16">
        <v>2000</v>
      </c>
      <c r="AT151" s="16">
        <v>2000</v>
      </c>
      <c r="AU151" s="16">
        <v>2000</v>
      </c>
      <c r="AV151" s="16">
        <v>0</v>
      </c>
      <c r="AW151" s="16">
        <v>2000</v>
      </c>
      <c r="AX151" s="16">
        <v>0</v>
      </c>
      <c r="AY151" s="16">
        <v>0</v>
      </c>
      <c r="AZ151" s="16">
        <v>0</v>
      </c>
      <c r="BA151" s="16">
        <v>2000</v>
      </c>
      <c r="BB151" s="16">
        <v>2000</v>
      </c>
    </row>
    <row r="152" spans="2:89" ht="40.200000000000003" hidden="1" x14ac:dyDescent="0.7">
      <c r="B152" s="31">
        <v>45620</v>
      </c>
      <c r="C152" s="40" t="s">
        <v>56</v>
      </c>
      <c r="D152" s="40">
        <f t="shared" si="20"/>
        <v>0</v>
      </c>
      <c r="E152" s="61">
        <v>10000</v>
      </c>
      <c r="F152" s="18">
        <f t="shared" si="19"/>
        <v>0</v>
      </c>
      <c r="G152" s="16">
        <f>SUM(H152:CL152)</f>
        <v>10000</v>
      </c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6">
        <v>0</v>
      </c>
      <c r="AQ152" s="16">
        <v>1000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E152" s="16">
        <v>0</v>
      </c>
      <c r="BF152" s="16">
        <v>0</v>
      </c>
      <c r="BG152" s="16">
        <v>0</v>
      </c>
      <c r="BI152" s="16">
        <v>0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  <c r="BR152" s="16">
        <v>0</v>
      </c>
      <c r="BT152" s="16">
        <v>0</v>
      </c>
      <c r="BU152" s="16">
        <v>0</v>
      </c>
      <c r="BV152" s="16">
        <v>0</v>
      </c>
      <c r="BZ152" s="16">
        <v>0</v>
      </c>
      <c r="CA152" s="16">
        <v>0</v>
      </c>
      <c r="CB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0</v>
      </c>
      <c r="CI152" s="16">
        <v>0</v>
      </c>
      <c r="CJ152" s="16">
        <v>0</v>
      </c>
      <c r="CK152" s="16">
        <v>9000</v>
      </c>
    </row>
    <row r="153" spans="2:89" ht="39.6" hidden="1" x14ac:dyDescent="0.65">
      <c r="B153" s="31">
        <v>45620</v>
      </c>
      <c r="C153" s="40" t="s">
        <v>57</v>
      </c>
      <c r="D153" s="40">
        <f t="shared" si="20"/>
        <v>0</v>
      </c>
      <c r="E153" s="16">
        <v>5000</v>
      </c>
      <c r="F153" s="18">
        <f t="shared" si="19"/>
        <v>0</v>
      </c>
      <c r="G153" s="16">
        <f t="shared" si="26"/>
        <v>5000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6">
        <v>1500</v>
      </c>
      <c r="AQ153" s="16">
        <v>500</v>
      </c>
      <c r="AR153" s="16">
        <v>500</v>
      </c>
      <c r="AS153" s="16">
        <v>500</v>
      </c>
      <c r="AT153" s="16">
        <v>500</v>
      </c>
      <c r="AU153" s="16">
        <v>500</v>
      </c>
      <c r="AV153" s="16">
        <v>500</v>
      </c>
      <c r="AW153" s="16">
        <v>500</v>
      </c>
    </row>
    <row r="154" spans="2:89" ht="39.6" hidden="1" x14ac:dyDescent="0.65">
      <c r="B154" s="31">
        <v>45620</v>
      </c>
      <c r="C154" s="40" t="s">
        <v>6</v>
      </c>
      <c r="D154" s="40">
        <f t="shared" si="20"/>
        <v>0</v>
      </c>
      <c r="E154" s="16">
        <v>20000</v>
      </c>
      <c r="F154" s="18">
        <f t="shared" si="19"/>
        <v>0</v>
      </c>
      <c r="G154" s="16">
        <f t="shared" si="26"/>
        <v>20000</v>
      </c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6">
        <v>0</v>
      </c>
      <c r="AR154" s="16">
        <v>2000</v>
      </c>
      <c r="AS154" s="16">
        <v>2000</v>
      </c>
      <c r="AT154" s="16">
        <v>2000</v>
      </c>
      <c r="AU154" s="16">
        <v>2000</v>
      </c>
      <c r="AV154" s="16">
        <v>2000</v>
      </c>
      <c r="AW154" s="16">
        <v>0</v>
      </c>
      <c r="AX154" s="16">
        <v>10000</v>
      </c>
    </row>
    <row r="155" spans="2:89" ht="39.6" hidden="1" x14ac:dyDescent="0.65">
      <c r="B155" s="31">
        <v>45620</v>
      </c>
      <c r="C155" s="40" t="s">
        <v>43</v>
      </c>
      <c r="D155" s="40">
        <f t="shared" si="20"/>
        <v>0</v>
      </c>
      <c r="E155" s="16">
        <v>5000</v>
      </c>
      <c r="F155" s="18">
        <f t="shared" si="19"/>
        <v>0</v>
      </c>
      <c r="G155" s="16">
        <f t="shared" si="26"/>
        <v>5000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6">
        <v>0</v>
      </c>
      <c r="AR155" s="16">
        <v>0</v>
      </c>
      <c r="AS155" s="16">
        <v>1500</v>
      </c>
      <c r="AT155" s="16">
        <v>0</v>
      </c>
      <c r="AU155" s="16">
        <v>0</v>
      </c>
      <c r="AV155" s="16">
        <v>0</v>
      </c>
      <c r="AW155" s="16">
        <v>3500</v>
      </c>
    </row>
    <row r="156" spans="2:89" ht="39.6" hidden="1" x14ac:dyDescent="0.65">
      <c r="B156" s="31">
        <v>45634</v>
      </c>
      <c r="C156" s="40" t="s">
        <v>32</v>
      </c>
      <c r="D156" s="40">
        <f t="shared" si="20"/>
        <v>0</v>
      </c>
      <c r="E156" s="16">
        <v>10000</v>
      </c>
      <c r="F156" s="18">
        <f t="shared" si="19"/>
        <v>0</v>
      </c>
      <c r="G156" s="16">
        <f t="shared" si="26"/>
        <v>10000</v>
      </c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6">
        <v>0</v>
      </c>
      <c r="AR156" s="16">
        <v>0</v>
      </c>
      <c r="AS156" s="16">
        <v>0</v>
      </c>
      <c r="AT156" s="16">
        <v>2000</v>
      </c>
      <c r="AU156" s="16">
        <v>2000</v>
      </c>
      <c r="AV156" s="16">
        <v>1000</v>
      </c>
      <c r="AW156" s="16">
        <v>0</v>
      </c>
      <c r="AX156" s="16">
        <v>1000</v>
      </c>
      <c r="AY156" s="16">
        <v>0</v>
      </c>
      <c r="AZ156" s="16">
        <v>0</v>
      </c>
      <c r="BA156" s="16">
        <v>4000</v>
      </c>
    </row>
    <row r="157" spans="2:89" ht="39.6" hidden="1" x14ac:dyDescent="0.65">
      <c r="B157" s="31">
        <v>45634</v>
      </c>
      <c r="C157" s="40" t="s">
        <v>58</v>
      </c>
      <c r="D157" s="40">
        <f t="shared" si="20"/>
        <v>0</v>
      </c>
      <c r="E157" s="16">
        <v>5000</v>
      </c>
      <c r="F157" s="18">
        <f t="shared" si="19"/>
        <v>0</v>
      </c>
      <c r="G157" s="16">
        <f>SUM(H157:BJ157)</f>
        <v>5000</v>
      </c>
      <c r="AL157" s="15"/>
      <c r="AM157" s="15"/>
      <c r="AN157" s="15"/>
      <c r="AO157" s="15"/>
      <c r="AP157" s="15"/>
      <c r="AQ157" s="15"/>
      <c r="AR157" s="15"/>
      <c r="AS157" s="16">
        <v>0</v>
      </c>
      <c r="AT157" s="16">
        <v>1000</v>
      </c>
      <c r="AU157" s="16">
        <v>0</v>
      </c>
      <c r="AV157" s="16">
        <v>1000</v>
      </c>
      <c r="AW157" s="16">
        <v>0</v>
      </c>
      <c r="AX157" s="16">
        <v>500</v>
      </c>
      <c r="AY157" s="16">
        <v>0</v>
      </c>
      <c r="AZ157" s="16">
        <v>500</v>
      </c>
      <c r="BA157" s="16">
        <v>1000</v>
      </c>
      <c r="BB157" s="16">
        <v>1000</v>
      </c>
    </row>
    <row r="158" spans="2:89" ht="39.6" hidden="1" x14ac:dyDescent="0.65">
      <c r="B158" s="31">
        <v>45641</v>
      </c>
      <c r="C158" s="40" t="s">
        <v>51</v>
      </c>
      <c r="D158" s="40">
        <f t="shared" si="20"/>
        <v>0</v>
      </c>
      <c r="E158" s="16">
        <v>10000</v>
      </c>
      <c r="F158" s="18">
        <f t="shared" si="19"/>
        <v>0</v>
      </c>
      <c r="G158" s="16">
        <f t="shared" si="26"/>
        <v>10000</v>
      </c>
      <c r="AL158" s="15"/>
      <c r="AM158" s="15"/>
      <c r="AN158" s="15"/>
      <c r="AO158" s="15"/>
      <c r="AP158" s="15"/>
      <c r="AQ158" s="15"/>
      <c r="AR158" s="15"/>
      <c r="AS158" s="16">
        <v>0</v>
      </c>
      <c r="AT158" s="16">
        <v>1000</v>
      </c>
      <c r="AU158" s="16">
        <v>0</v>
      </c>
      <c r="AV158" s="16">
        <v>2000</v>
      </c>
      <c r="AW158" s="16">
        <v>0</v>
      </c>
      <c r="AX158" s="16">
        <v>1000</v>
      </c>
      <c r="AY158" s="16">
        <v>1000</v>
      </c>
      <c r="AZ158" s="16">
        <v>1000</v>
      </c>
      <c r="BA158" s="16">
        <v>0</v>
      </c>
      <c r="BB158" s="16">
        <v>1000</v>
      </c>
      <c r="BC158" s="16">
        <v>1000</v>
      </c>
      <c r="BD158" s="16">
        <v>1000</v>
      </c>
      <c r="BE158" s="16">
        <v>0</v>
      </c>
      <c r="BF158" s="16">
        <v>0</v>
      </c>
      <c r="BG158" s="16">
        <v>1000</v>
      </c>
    </row>
    <row r="159" spans="2:89" ht="39.6" hidden="1" x14ac:dyDescent="0.65">
      <c r="B159" s="31">
        <v>45641</v>
      </c>
      <c r="C159" s="40" t="s">
        <v>59</v>
      </c>
      <c r="D159" s="40">
        <f t="shared" si="20"/>
        <v>0</v>
      </c>
      <c r="E159" s="16">
        <v>5000</v>
      </c>
      <c r="F159" s="18">
        <f t="shared" si="19"/>
        <v>0</v>
      </c>
      <c r="G159" s="16">
        <f t="shared" si="26"/>
        <v>5000</v>
      </c>
      <c r="AL159" s="15"/>
      <c r="AM159" s="15"/>
      <c r="AN159" s="15"/>
      <c r="AO159" s="15"/>
      <c r="AP159" s="15"/>
      <c r="AQ159" s="15"/>
      <c r="AR159" s="15"/>
      <c r="AS159" s="16">
        <v>500</v>
      </c>
      <c r="AT159" s="16">
        <v>500</v>
      </c>
      <c r="AU159" s="16">
        <v>500</v>
      </c>
      <c r="AV159" s="16">
        <v>500</v>
      </c>
      <c r="AW159" s="16">
        <v>500</v>
      </c>
      <c r="AX159" s="16">
        <v>500</v>
      </c>
      <c r="AY159" s="16">
        <v>500</v>
      </c>
      <c r="AZ159" s="16">
        <v>1500</v>
      </c>
    </row>
    <row r="160" spans="2:89" ht="39.6" hidden="1" x14ac:dyDescent="0.65">
      <c r="B160" s="31">
        <v>45648</v>
      </c>
      <c r="C160" s="40" t="s">
        <v>29</v>
      </c>
      <c r="D160" s="40">
        <f t="shared" si="20"/>
        <v>0</v>
      </c>
      <c r="E160" s="16">
        <v>20000</v>
      </c>
      <c r="F160" s="18">
        <f t="shared" si="19"/>
        <v>0</v>
      </c>
      <c r="G160" s="16">
        <f t="shared" si="26"/>
        <v>20000</v>
      </c>
      <c r="AL160" s="15"/>
      <c r="AM160" s="15"/>
      <c r="AN160" s="15"/>
      <c r="AO160" s="15"/>
      <c r="AP160" s="15"/>
      <c r="AQ160" s="15"/>
      <c r="AR160" s="15"/>
      <c r="AS160" s="16">
        <v>0</v>
      </c>
      <c r="AT160" s="16">
        <v>2000</v>
      </c>
      <c r="AU160" s="16">
        <v>2000</v>
      </c>
      <c r="AV160" s="16">
        <v>2000</v>
      </c>
      <c r="AW160" s="16">
        <v>0</v>
      </c>
      <c r="AX160" s="16">
        <v>2000</v>
      </c>
      <c r="AY160" s="16">
        <v>4000</v>
      </c>
      <c r="AZ160" s="16">
        <v>2000</v>
      </c>
      <c r="BA160" s="16">
        <v>2000</v>
      </c>
      <c r="BB160" s="16">
        <v>2000</v>
      </c>
      <c r="BC160" s="16">
        <v>2000</v>
      </c>
    </row>
    <row r="161" spans="3:44" ht="39.6" hidden="1" x14ac:dyDescent="0.65">
      <c r="C161" s="40"/>
      <c r="D161" s="40" t="e">
        <f t="shared" si="20"/>
        <v>#DIV/0!</v>
      </c>
      <c r="E161" s="16"/>
      <c r="F161" s="18">
        <f t="shared" ref="F161:F227" si="27">E161-G161</f>
        <v>0</v>
      </c>
      <c r="G161" s="16">
        <f t="shared" si="26"/>
        <v>0</v>
      </c>
      <c r="AL161" s="15"/>
      <c r="AM161" s="15"/>
      <c r="AN161" s="15"/>
      <c r="AO161" s="15"/>
      <c r="AP161" s="15"/>
      <c r="AQ161" s="15"/>
      <c r="AR161" s="15"/>
    </row>
    <row r="162" spans="3:44" ht="39.6" hidden="1" x14ac:dyDescent="0.65">
      <c r="C162" s="40"/>
      <c r="D162" s="40" t="e">
        <f t="shared" si="20"/>
        <v>#DIV/0!</v>
      </c>
      <c r="E162" s="16"/>
      <c r="F162" s="18">
        <f t="shared" si="27"/>
        <v>0</v>
      </c>
      <c r="G162" s="16">
        <f t="shared" si="26"/>
        <v>0</v>
      </c>
      <c r="AL162" s="15"/>
      <c r="AM162" s="15"/>
      <c r="AN162" s="15"/>
      <c r="AO162" s="15"/>
      <c r="AP162" s="15"/>
      <c r="AQ162" s="15"/>
      <c r="AR162" s="15"/>
    </row>
    <row r="163" spans="3:44" ht="39.6" hidden="1" x14ac:dyDescent="0.65">
      <c r="C163" s="40"/>
      <c r="D163" s="40" t="e">
        <f t="shared" si="20"/>
        <v>#DIV/0!</v>
      </c>
      <c r="E163" s="16"/>
      <c r="F163" s="18">
        <f t="shared" si="27"/>
        <v>0</v>
      </c>
      <c r="G163" s="16">
        <f t="shared" si="26"/>
        <v>0</v>
      </c>
      <c r="AL163" s="15"/>
      <c r="AM163" s="15"/>
      <c r="AN163" s="15"/>
      <c r="AO163" s="15"/>
      <c r="AP163" s="15"/>
      <c r="AQ163" s="15"/>
      <c r="AR163" s="15"/>
    </row>
    <row r="164" spans="3:44" ht="39.6" hidden="1" x14ac:dyDescent="0.65">
      <c r="C164" s="40"/>
      <c r="D164" s="40" t="e">
        <f t="shared" si="20"/>
        <v>#DIV/0!</v>
      </c>
      <c r="E164" s="16"/>
      <c r="F164" s="18">
        <f t="shared" si="27"/>
        <v>0</v>
      </c>
      <c r="G164" s="16">
        <f t="shared" si="26"/>
        <v>0</v>
      </c>
      <c r="AL164" s="15"/>
      <c r="AM164" s="15"/>
      <c r="AN164" s="15"/>
      <c r="AO164" s="15"/>
      <c r="AP164" s="15"/>
      <c r="AQ164" s="15"/>
      <c r="AR164" s="15"/>
    </row>
    <row r="165" spans="3:44" ht="39.6" hidden="1" x14ac:dyDescent="0.65">
      <c r="C165" s="40"/>
      <c r="D165" s="40" t="e">
        <f t="shared" si="20"/>
        <v>#DIV/0!</v>
      </c>
      <c r="E165" s="16"/>
      <c r="F165" s="18">
        <f t="shared" si="27"/>
        <v>0</v>
      </c>
      <c r="G165" s="16">
        <f t="shared" si="26"/>
        <v>0</v>
      </c>
      <c r="AL165" s="15"/>
      <c r="AM165" s="15"/>
      <c r="AN165" s="15"/>
      <c r="AO165" s="15"/>
      <c r="AP165" s="15"/>
      <c r="AQ165" s="15"/>
      <c r="AR165" s="15"/>
    </row>
    <row r="166" spans="3:44" ht="39.6" hidden="1" x14ac:dyDescent="0.65">
      <c r="C166" s="40"/>
      <c r="D166" s="40" t="e">
        <f t="shared" si="20"/>
        <v>#DIV/0!</v>
      </c>
      <c r="E166" s="16"/>
      <c r="F166" s="18">
        <f t="shared" si="27"/>
        <v>0</v>
      </c>
      <c r="G166" s="16">
        <f t="shared" si="26"/>
        <v>0</v>
      </c>
      <c r="AL166" s="15"/>
      <c r="AM166" s="15"/>
      <c r="AN166" s="15"/>
      <c r="AO166" s="15"/>
      <c r="AP166" s="15"/>
      <c r="AQ166" s="15"/>
      <c r="AR166" s="15"/>
    </row>
    <row r="167" spans="3:44" ht="39.6" hidden="1" x14ac:dyDescent="0.65">
      <c r="C167" s="40"/>
      <c r="D167" s="40" t="e">
        <f t="shared" si="20"/>
        <v>#DIV/0!</v>
      </c>
      <c r="E167" s="16"/>
      <c r="F167" s="18">
        <f t="shared" si="27"/>
        <v>0</v>
      </c>
      <c r="G167" s="16">
        <f t="shared" si="26"/>
        <v>0</v>
      </c>
      <c r="AL167" s="15"/>
      <c r="AM167" s="15"/>
      <c r="AN167" s="15"/>
      <c r="AO167" s="15"/>
      <c r="AP167" s="15"/>
      <c r="AQ167" s="15"/>
      <c r="AR167" s="15"/>
    </row>
    <row r="168" spans="3:44" ht="39.6" hidden="1" x14ac:dyDescent="0.65">
      <c r="C168" s="40"/>
      <c r="D168" s="40"/>
      <c r="E168" s="16"/>
      <c r="F168" s="18">
        <f t="shared" si="27"/>
        <v>0</v>
      </c>
      <c r="G168" s="16">
        <f t="shared" si="26"/>
        <v>0</v>
      </c>
      <c r="AL168" s="15"/>
      <c r="AM168" s="15"/>
      <c r="AN168" s="15"/>
      <c r="AO168" s="15"/>
      <c r="AP168" s="15"/>
      <c r="AQ168" s="15"/>
      <c r="AR168" s="15"/>
    </row>
    <row r="169" spans="3:44" ht="39.6" hidden="1" x14ac:dyDescent="0.65">
      <c r="C169" s="40"/>
      <c r="D169" s="40"/>
      <c r="E169" s="16"/>
      <c r="F169" s="18">
        <f t="shared" si="27"/>
        <v>0</v>
      </c>
      <c r="G169" s="16">
        <f t="shared" si="26"/>
        <v>0</v>
      </c>
      <c r="AL169" s="15"/>
      <c r="AM169" s="15"/>
      <c r="AN169" s="15"/>
      <c r="AO169" s="15"/>
      <c r="AP169" s="15"/>
      <c r="AQ169" s="15"/>
      <c r="AR169" s="15"/>
    </row>
    <row r="170" spans="3:44" ht="39.6" hidden="1" x14ac:dyDescent="0.65">
      <c r="C170" s="40"/>
      <c r="D170" s="40"/>
      <c r="E170" s="16"/>
      <c r="F170" s="18">
        <f t="shared" si="27"/>
        <v>0</v>
      </c>
      <c r="G170" s="16">
        <f t="shared" si="26"/>
        <v>0</v>
      </c>
      <c r="AL170" s="15"/>
      <c r="AM170" s="15"/>
      <c r="AN170" s="15"/>
      <c r="AO170" s="15"/>
      <c r="AP170" s="15"/>
      <c r="AQ170" s="15"/>
      <c r="AR170" s="15"/>
    </row>
    <row r="171" spans="3:44" ht="39.6" hidden="1" x14ac:dyDescent="0.65">
      <c r="C171" s="40"/>
      <c r="D171" s="40"/>
      <c r="E171" s="16"/>
      <c r="F171" s="18">
        <f t="shared" si="27"/>
        <v>0</v>
      </c>
      <c r="G171" s="16">
        <f t="shared" si="26"/>
        <v>0</v>
      </c>
      <c r="AL171" s="15"/>
      <c r="AM171" s="15"/>
      <c r="AN171" s="15"/>
      <c r="AO171" s="15"/>
      <c r="AP171" s="15"/>
      <c r="AQ171" s="15"/>
      <c r="AR171" s="15"/>
    </row>
    <row r="172" spans="3:44" ht="39.6" hidden="1" x14ac:dyDescent="0.65">
      <c r="C172" s="40"/>
      <c r="D172" s="40"/>
      <c r="E172" s="16"/>
      <c r="F172" s="18">
        <f t="shared" si="27"/>
        <v>0</v>
      </c>
      <c r="G172" s="16">
        <f t="shared" si="26"/>
        <v>0</v>
      </c>
      <c r="AL172" s="15"/>
      <c r="AM172" s="15"/>
      <c r="AN172" s="15"/>
      <c r="AO172" s="15"/>
      <c r="AP172" s="15"/>
      <c r="AQ172" s="15"/>
      <c r="AR172" s="15"/>
    </row>
    <row r="173" spans="3:44" ht="39.6" hidden="1" x14ac:dyDescent="0.65">
      <c r="C173" s="40"/>
      <c r="D173" s="40"/>
      <c r="E173" s="16"/>
      <c r="F173" s="18">
        <f t="shared" si="27"/>
        <v>0</v>
      </c>
      <c r="G173" s="16">
        <f t="shared" si="26"/>
        <v>0</v>
      </c>
      <c r="AL173" s="15"/>
      <c r="AM173" s="15"/>
      <c r="AN173" s="15"/>
      <c r="AO173" s="15"/>
      <c r="AP173" s="15"/>
      <c r="AQ173" s="15"/>
      <c r="AR173" s="15"/>
    </row>
    <row r="174" spans="3:44" ht="39.6" hidden="1" x14ac:dyDescent="0.65">
      <c r="C174" s="40"/>
      <c r="D174" s="40"/>
      <c r="E174" s="16"/>
      <c r="F174" s="18">
        <f t="shared" si="27"/>
        <v>0</v>
      </c>
      <c r="G174" s="16">
        <f t="shared" si="26"/>
        <v>0</v>
      </c>
      <c r="AL174" s="15"/>
      <c r="AM174" s="15"/>
      <c r="AN174" s="15"/>
      <c r="AO174" s="15"/>
      <c r="AP174" s="15"/>
      <c r="AQ174" s="15"/>
      <c r="AR174" s="15"/>
    </row>
    <row r="175" spans="3:44" ht="39.6" hidden="1" x14ac:dyDescent="0.65">
      <c r="C175" s="40"/>
      <c r="D175" s="40"/>
      <c r="E175" s="16"/>
      <c r="F175" s="18">
        <f t="shared" si="27"/>
        <v>0</v>
      </c>
      <c r="G175" s="16">
        <f t="shared" si="26"/>
        <v>0</v>
      </c>
      <c r="AL175" s="15"/>
      <c r="AM175" s="15"/>
      <c r="AN175" s="15"/>
      <c r="AO175" s="15"/>
      <c r="AP175" s="15"/>
      <c r="AQ175" s="15"/>
      <c r="AR175" s="15"/>
    </row>
    <row r="176" spans="3:44" ht="39.6" hidden="1" x14ac:dyDescent="0.65">
      <c r="C176" s="40"/>
      <c r="D176" s="40"/>
      <c r="E176" s="16"/>
      <c r="F176" s="18">
        <f t="shared" si="27"/>
        <v>0</v>
      </c>
      <c r="G176" s="16">
        <f t="shared" si="26"/>
        <v>0</v>
      </c>
      <c r="AL176" s="15"/>
      <c r="AM176" s="15"/>
      <c r="AN176" s="15"/>
      <c r="AO176" s="15"/>
      <c r="AP176" s="15"/>
      <c r="AQ176" s="15"/>
      <c r="AR176" s="15"/>
    </row>
    <row r="177" spans="3:44" ht="39.6" hidden="1" x14ac:dyDescent="0.65">
      <c r="C177" s="40"/>
      <c r="D177" s="40"/>
      <c r="E177" s="16"/>
      <c r="F177" s="18">
        <f t="shared" si="27"/>
        <v>0</v>
      </c>
      <c r="G177" s="16">
        <f t="shared" si="26"/>
        <v>0</v>
      </c>
      <c r="AL177" s="15"/>
      <c r="AM177" s="15"/>
      <c r="AN177" s="15"/>
      <c r="AO177" s="15"/>
      <c r="AP177" s="15"/>
      <c r="AQ177" s="15"/>
      <c r="AR177" s="15"/>
    </row>
    <row r="178" spans="3:44" ht="39.6" hidden="1" x14ac:dyDescent="0.65">
      <c r="C178" s="40"/>
      <c r="D178" s="40"/>
      <c r="E178" s="16"/>
      <c r="F178" s="18">
        <f t="shared" si="27"/>
        <v>0</v>
      </c>
      <c r="G178" s="16">
        <f t="shared" si="26"/>
        <v>0</v>
      </c>
      <c r="AL178" s="15"/>
      <c r="AM178" s="15"/>
      <c r="AN178" s="15"/>
      <c r="AO178" s="15"/>
      <c r="AP178" s="15"/>
      <c r="AQ178" s="15"/>
      <c r="AR178" s="15"/>
    </row>
    <row r="179" spans="3:44" ht="39.6" hidden="1" x14ac:dyDescent="0.65">
      <c r="C179" s="40"/>
      <c r="D179" s="40"/>
      <c r="E179" s="16"/>
      <c r="F179" s="18">
        <f t="shared" si="27"/>
        <v>0</v>
      </c>
      <c r="G179" s="16">
        <f t="shared" si="26"/>
        <v>0</v>
      </c>
      <c r="AL179" s="15"/>
      <c r="AM179" s="15"/>
      <c r="AN179" s="15"/>
      <c r="AO179" s="15"/>
      <c r="AP179" s="15"/>
      <c r="AQ179" s="15"/>
      <c r="AR179" s="15"/>
    </row>
    <row r="180" spans="3:44" ht="39.6" hidden="1" x14ac:dyDescent="0.65">
      <c r="C180" s="40"/>
      <c r="D180" s="40"/>
      <c r="E180" s="16"/>
      <c r="F180" s="18">
        <f t="shared" si="27"/>
        <v>0</v>
      </c>
      <c r="G180" s="16">
        <f t="shared" si="26"/>
        <v>0</v>
      </c>
      <c r="AL180" s="15"/>
      <c r="AM180" s="15"/>
      <c r="AN180" s="15"/>
      <c r="AO180" s="15"/>
      <c r="AP180" s="15"/>
      <c r="AQ180" s="15"/>
      <c r="AR180" s="15"/>
    </row>
    <row r="181" spans="3:44" ht="39.6" hidden="1" x14ac:dyDescent="0.65">
      <c r="C181" s="40"/>
      <c r="D181" s="40"/>
      <c r="E181" s="16"/>
      <c r="F181" s="18">
        <f t="shared" si="27"/>
        <v>0</v>
      </c>
      <c r="G181" s="16">
        <f t="shared" si="26"/>
        <v>0</v>
      </c>
      <c r="AL181" s="15"/>
      <c r="AM181" s="15"/>
      <c r="AN181" s="15"/>
      <c r="AO181" s="15"/>
      <c r="AP181" s="15"/>
      <c r="AQ181" s="15"/>
      <c r="AR181" s="15"/>
    </row>
    <row r="182" spans="3:44" ht="39.6" hidden="1" x14ac:dyDescent="0.65">
      <c r="C182" s="40"/>
      <c r="D182" s="40"/>
      <c r="E182" s="16"/>
      <c r="F182" s="18">
        <f t="shared" si="27"/>
        <v>0</v>
      </c>
      <c r="G182" s="16">
        <f t="shared" si="26"/>
        <v>0</v>
      </c>
      <c r="AL182" s="15"/>
      <c r="AM182" s="15"/>
      <c r="AN182" s="15"/>
      <c r="AO182" s="15"/>
      <c r="AP182" s="15"/>
      <c r="AQ182" s="15"/>
      <c r="AR182" s="15"/>
    </row>
    <row r="183" spans="3:44" ht="39.6" hidden="1" x14ac:dyDescent="0.65">
      <c r="C183" s="40"/>
      <c r="D183" s="40"/>
      <c r="E183" s="16"/>
      <c r="F183" s="18">
        <f t="shared" si="27"/>
        <v>0</v>
      </c>
      <c r="G183" s="16">
        <f t="shared" si="26"/>
        <v>0</v>
      </c>
      <c r="AL183" s="15"/>
      <c r="AM183" s="15"/>
      <c r="AN183" s="15"/>
      <c r="AO183" s="15"/>
      <c r="AP183" s="15"/>
      <c r="AQ183" s="15"/>
      <c r="AR183" s="15"/>
    </row>
    <row r="184" spans="3:44" ht="39.6" hidden="1" x14ac:dyDescent="0.65">
      <c r="C184" s="40"/>
      <c r="D184" s="40"/>
      <c r="E184" s="16"/>
      <c r="F184" s="18">
        <f t="shared" si="27"/>
        <v>0</v>
      </c>
      <c r="G184" s="16">
        <f t="shared" si="26"/>
        <v>0</v>
      </c>
      <c r="AL184" s="15"/>
      <c r="AM184" s="15"/>
      <c r="AN184" s="15"/>
      <c r="AO184" s="15"/>
      <c r="AP184" s="15"/>
      <c r="AQ184" s="15"/>
      <c r="AR184" s="15"/>
    </row>
    <row r="185" spans="3:44" ht="39.6" hidden="1" x14ac:dyDescent="0.65">
      <c r="C185" s="40"/>
      <c r="D185" s="40"/>
      <c r="E185" s="16"/>
      <c r="F185" s="18">
        <f t="shared" si="27"/>
        <v>0</v>
      </c>
      <c r="G185" s="16">
        <f t="shared" si="26"/>
        <v>0</v>
      </c>
      <c r="AL185" s="15"/>
      <c r="AM185" s="15"/>
      <c r="AN185" s="15"/>
      <c r="AO185" s="15"/>
      <c r="AP185" s="15"/>
      <c r="AQ185" s="15"/>
      <c r="AR185" s="15"/>
    </row>
    <row r="186" spans="3:44" ht="39.6" hidden="1" x14ac:dyDescent="0.65">
      <c r="C186" s="40"/>
      <c r="D186" s="40"/>
      <c r="E186" s="16"/>
      <c r="F186" s="18">
        <f t="shared" si="27"/>
        <v>0</v>
      </c>
      <c r="G186" s="16">
        <f t="shared" si="26"/>
        <v>0</v>
      </c>
      <c r="AL186" s="15"/>
      <c r="AM186" s="15"/>
      <c r="AN186" s="15"/>
      <c r="AO186" s="15"/>
      <c r="AP186" s="15"/>
      <c r="AQ186" s="15"/>
      <c r="AR186" s="15"/>
    </row>
    <row r="187" spans="3:44" ht="39.6" hidden="1" x14ac:dyDescent="0.65">
      <c r="C187" s="40"/>
      <c r="D187" s="40"/>
      <c r="E187" s="16"/>
      <c r="F187" s="18">
        <f t="shared" si="27"/>
        <v>0</v>
      </c>
      <c r="G187" s="16">
        <f t="shared" si="26"/>
        <v>0</v>
      </c>
      <c r="AL187" s="15"/>
      <c r="AM187" s="15"/>
      <c r="AN187" s="15"/>
      <c r="AO187" s="15"/>
      <c r="AP187" s="15"/>
      <c r="AQ187" s="15"/>
      <c r="AR187" s="15"/>
    </row>
    <row r="188" spans="3:44" ht="39.6" hidden="1" x14ac:dyDescent="0.65">
      <c r="C188" s="40"/>
      <c r="D188" s="40"/>
      <c r="E188" s="16"/>
      <c r="F188" s="18">
        <f t="shared" si="27"/>
        <v>0</v>
      </c>
      <c r="G188" s="16">
        <f t="shared" si="26"/>
        <v>0</v>
      </c>
      <c r="AL188" s="15"/>
      <c r="AM188" s="15"/>
      <c r="AN188" s="15"/>
      <c r="AO188" s="15"/>
      <c r="AP188" s="15"/>
      <c r="AQ188" s="15"/>
      <c r="AR188" s="15"/>
    </row>
    <row r="189" spans="3:44" ht="39.6" hidden="1" x14ac:dyDescent="0.65">
      <c r="C189" s="40"/>
      <c r="D189" s="40"/>
      <c r="E189" s="16"/>
      <c r="F189" s="18">
        <f t="shared" si="27"/>
        <v>0</v>
      </c>
      <c r="G189" s="16">
        <f t="shared" si="26"/>
        <v>0</v>
      </c>
      <c r="AL189" s="15"/>
      <c r="AM189" s="15"/>
      <c r="AN189" s="15"/>
      <c r="AO189" s="15"/>
      <c r="AP189" s="15"/>
      <c r="AQ189" s="15"/>
      <c r="AR189" s="15"/>
    </row>
    <row r="190" spans="3:44" ht="39.6" hidden="1" x14ac:dyDescent="0.65">
      <c r="C190" s="40"/>
      <c r="D190" s="40"/>
      <c r="E190" s="16"/>
      <c r="F190" s="18">
        <f t="shared" si="27"/>
        <v>0</v>
      </c>
      <c r="G190" s="16">
        <f t="shared" si="26"/>
        <v>0</v>
      </c>
      <c r="AL190" s="15"/>
      <c r="AM190" s="15"/>
      <c r="AN190" s="15"/>
      <c r="AO190" s="15"/>
      <c r="AP190" s="15"/>
      <c r="AQ190" s="15"/>
      <c r="AR190" s="15"/>
    </row>
    <row r="191" spans="3:44" ht="39.6" hidden="1" x14ac:dyDescent="0.65">
      <c r="C191" s="40"/>
      <c r="D191" s="40"/>
      <c r="E191" s="16"/>
      <c r="F191" s="18">
        <f t="shared" si="27"/>
        <v>0</v>
      </c>
      <c r="G191" s="16">
        <f t="shared" si="26"/>
        <v>0</v>
      </c>
      <c r="AL191" s="15"/>
      <c r="AM191" s="15"/>
      <c r="AN191" s="15"/>
      <c r="AO191" s="15"/>
      <c r="AP191" s="15"/>
      <c r="AQ191" s="15"/>
      <c r="AR191" s="15"/>
    </row>
    <row r="192" spans="3:44" ht="39.6" hidden="1" x14ac:dyDescent="0.65">
      <c r="C192" s="40"/>
      <c r="D192" s="40"/>
      <c r="E192" s="16"/>
      <c r="F192" s="18">
        <f t="shared" si="27"/>
        <v>0</v>
      </c>
      <c r="G192" s="16">
        <f t="shared" si="26"/>
        <v>0</v>
      </c>
      <c r="AL192" s="15"/>
      <c r="AM192" s="15"/>
      <c r="AN192" s="15"/>
      <c r="AO192" s="15"/>
      <c r="AP192" s="15"/>
      <c r="AQ192" s="15"/>
      <c r="AR192" s="15"/>
    </row>
    <row r="193" spans="2:60" ht="39.6" hidden="1" x14ac:dyDescent="0.65">
      <c r="C193" s="40"/>
      <c r="D193" s="40"/>
      <c r="E193" s="16"/>
      <c r="F193" s="18">
        <f t="shared" si="27"/>
        <v>0</v>
      </c>
      <c r="G193" s="16">
        <f t="shared" si="26"/>
        <v>0</v>
      </c>
      <c r="AL193" s="15"/>
      <c r="AM193" s="15"/>
      <c r="AN193" s="15"/>
      <c r="AO193" s="15"/>
      <c r="AP193" s="15"/>
      <c r="AQ193" s="15"/>
      <c r="AR193" s="15"/>
    </row>
    <row r="194" spans="2:60" ht="39.6" hidden="1" x14ac:dyDescent="0.65">
      <c r="C194" s="40"/>
      <c r="D194" s="40"/>
      <c r="E194" s="16"/>
      <c r="F194" s="18">
        <f t="shared" si="27"/>
        <v>0</v>
      </c>
      <c r="G194" s="16">
        <f t="shared" si="26"/>
        <v>0</v>
      </c>
      <c r="AL194" s="15"/>
      <c r="AM194" s="15"/>
      <c r="AN194" s="15"/>
      <c r="AO194" s="15"/>
      <c r="AP194" s="15"/>
      <c r="AQ194" s="15"/>
      <c r="AR194" s="15"/>
    </row>
    <row r="195" spans="2:60" ht="39.6" hidden="1" x14ac:dyDescent="0.65">
      <c r="B195" s="31">
        <v>45655</v>
      </c>
      <c r="C195" s="40" t="s">
        <v>60</v>
      </c>
      <c r="D195" s="40">
        <f t="shared" ref="D195:D259" si="28">F195/(E195*0.1)</f>
        <v>0</v>
      </c>
      <c r="E195" s="16">
        <v>5000</v>
      </c>
      <c r="F195" s="18">
        <f t="shared" si="27"/>
        <v>0</v>
      </c>
      <c r="G195" s="16">
        <f t="shared" si="26"/>
        <v>5000</v>
      </c>
      <c r="AL195" s="15"/>
      <c r="AM195" s="15"/>
      <c r="AN195" s="15"/>
      <c r="AO195" s="15"/>
      <c r="AP195" s="15"/>
      <c r="AQ195" s="15"/>
      <c r="AR195" s="15"/>
      <c r="AS195" s="15"/>
      <c r="AT195" s="16">
        <v>2000</v>
      </c>
      <c r="AU195" s="16">
        <v>500</v>
      </c>
      <c r="AV195" s="16">
        <v>1000</v>
      </c>
      <c r="AW195" s="16">
        <v>500</v>
      </c>
      <c r="AX195" s="16">
        <v>0</v>
      </c>
      <c r="AY195" s="16">
        <v>1000</v>
      </c>
    </row>
    <row r="196" spans="2:60" ht="39.6" hidden="1" x14ac:dyDescent="0.65">
      <c r="B196" s="31">
        <v>45655</v>
      </c>
      <c r="C196" s="40" t="s">
        <v>20</v>
      </c>
      <c r="D196" s="40">
        <f t="shared" si="28"/>
        <v>0</v>
      </c>
      <c r="E196" s="16">
        <v>30000</v>
      </c>
      <c r="F196" s="18">
        <f t="shared" si="27"/>
        <v>0</v>
      </c>
      <c r="G196" s="16">
        <f t="shared" si="26"/>
        <v>30000</v>
      </c>
      <c r="AL196" s="15"/>
      <c r="AM196" s="15"/>
      <c r="AN196" s="15"/>
      <c r="AO196" s="15"/>
      <c r="AP196" s="15"/>
      <c r="AQ196" s="15"/>
      <c r="AR196" s="15"/>
      <c r="AS196" s="15"/>
      <c r="AT196" s="15"/>
      <c r="AU196" s="16">
        <v>3000</v>
      </c>
      <c r="AV196" s="16">
        <v>3000</v>
      </c>
      <c r="AW196" s="16">
        <v>3000</v>
      </c>
      <c r="AX196" s="16">
        <v>3000</v>
      </c>
      <c r="AY196" s="16">
        <v>3000</v>
      </c>
      <c r="AZ196" s="16">
        <v>3000</v>
      </c>
      <c r="BA196" s="16">
        <v>3000</v>
      </c>
      <c r="BB196" s="16">
        <v>9000</v>
      </c>
    </row>
    <row r="197" spans="2:60" ht="39.6" hidden="1" x14ac:dyDescent="0.65">
      <c r="B197" s="31">
        <v>45655</v>
      </c>
      <c r="C197" s="40" t="s">
        <v>61</v>
      </c>
      <c r="D197" s="40">
        <f t="shared" si="28"/>
        <v>0</v>
      </c>
      <c r="E197" s="16">
        <v>15000</v>
      </c>
      <c r="F197" s="18">
        <f t="shared" si="27"/>
        <v>0</v>
      </c>
      <c r="G197" s="16">
        <f t="shared" si="26"/>
        <v>15000</v>
      </c>
      <c r="AL197" s="15"/>
      <c r="AM197" s="15"/>
      <c r="AN197" s="15"/>
      <c r="AO197" s="15"/>
      <c r="AP197" s="15"/>
      <c r="AQ197" s="15"/>
      <c r="AR197" s="15"/>
      <c r="AS197" s="15"/>
      <c r="AT197" s="15"/>
      <c r="AU197" s="16">
        <v>1500</v>
      </c>
      <c r="AV197" s="16">
        <v>1500</v>
      </c>
      <c r="AW197" s="16">
        <v>1500</v>
      </c>
      <c r="AX197" s="16">
        <v>1500</v>
      </c>
      <c r="AY197" s="16">
        <v>1500</v>
      </c>
      <c r="AZ197" s="16">
        <v>7500</v>
      </c>
    </row>
    <row r="198" spans="2:60" ht="39.6" hidden="1" x14ac:dyDescent="0.65">
      <c r="B198" s="31">
        <v>45655</v>
      </c>
      <c r="C198" s="40" t="s">
        <v>62</v>
      </c>
      <c r="D198" s="40">
        <f t="shared" si="28"/>
        <v>0</v>
      </c>
      <c r="E198" s="16">
        <v>5000</v>
      </c>
      <c r="F198" s="18">
        <f t="shared" si="27"/>
        <v>0</v>
      </c>
      <c r="G198" s="16">
        <f t="shared" si="26"/>
        <v>5000</v>
      </c>
      <c r="AL198" s="15"/>
      <c r="AM198" s="15"/>
      <c r="AN198" s="15"/>
      <c r="AO198" s="15"/>
      <c r="AP198" s="15"/>
      <c r="AQ198" s="15"/>
      <c r="AR198" s="15"/>
      <c r="AS198" s="15"/>
      <c r="AT198" s="15"/>
      <c r="AU198" s="16">
        <v>500</v>
      </c>
      <c r="AV198" s="16">
        <v>500</v>
      </c>
      <c r="AW198" s="16">
        <v>500</v>
      </c>
      <c r="AX198" s="16">
        <v>500</v>
      </c>
      <c r="AY198" s="16">
        <v>0</v>
      </c>
      <c r="AZ198" s="16">
        <v>0</v>
      </c>
      <c r="BA198" s="16">
        <v>1000</v>
      </c>
      <c r="BB198" s="16">
        <v>0</v>
      </c>
      <c r="BC198" s="16">
        <v>0</v>
      </c>
      <c r="BD198" s="16">
        <v>0</v>
      </c>
      <c r="BE198" s="16">
        <v>2000</v>
      </c>
    </row>
    <row r="199" spans="2:60" ht="39.6" hidden="1" x14ac:dyDescent="0.65">
      <c r="D199" s="40" t="e">
        <f t="shared" si="28"/>
        <v>#DIV/0!</v>
      </c>
      <c r="E199" s="16"/>
      <c r="F199" s="18">
        <f t="shared" si="27"/>
        <v>0</v>
      </c>
      <c r="G199" s="16">
        <f t="shared" si="26"/>
        <v>0</v>
      </c>
      <c r="AL199" s="15"/>
      <c r="AM199" s="15"/>
      <c r="AN199" s="15"/>
      <c r="AO199" s="15"/>
      <c r="AP199" s="15"/>
      <c r="AQ199" s="15"/>
      <c r="AR199" s="15"/>
      <c r="AS199" s="15"/>
      <c r="AT199" s="15"/>
    </row>
    <row r="200" spans="2:60" ht="39.6" hidden="1" x14ac:dyDescent="0.65">
      <c r="B200" s="31">
        <v>45662</v>
      </c>
      <c r="C200" s="40" t="s">
        <v>5</v>
      </c>
      <c r="D200" s="40">
        <f t="shared" si="28"/>
        <v>0</v>
      </c>
      <c r="E200" s="16">
        <v>20000</v>
      </c>
      <c r="F200" s="18">
        <f t="shared" si="27"/>
        <v>0</v>
      </c>
      <c r="G200" s="16">
        <f t="shared" si="26"/>
        <v>20000</v>
      </c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6">
        <v>2000</v>
      </c>
      <c r="AW200" s="16">
        <v>2000</v>
      </c>
      <c r="AX200" s="16">
        <v>2000</v>
      </c>
      <c r="AY200" s="16">
        <v>2000</v>
      </c>
      <c r="AZ200" s="16">
        <v>2000</v>
      </c>
      <c r="BA200" s="16">
        <v>2000</v>
      </c>
      <c r="BB200" s="16">
        <v>0</v>
      </c>
      <c r="BC200" s="16">
        <v>2000</v>
      </c>
      <c r="BD200" s="16">
        <v>2000</v>
      </c>
      <c r="BE200" s="16">
        <v>2000</v>
      </c>
      <c r="BF200" s="16">
        <v>2000</v>
      </c>
    </row>
    <row r="201" spans="2:60" ht="39.6" hidden="1" x14ac:dyDescent="0.65">
      <c r="B201" s="31">
        <v>45662</v>
      </c>
      <c r="C201" s="40" t="s">
        <v>66</v>
      </c>
      <c r="D201" s="40">
        <f t="shared" si="28"/>
        <v>0</v>
      </c>
      <c r="E201" s="16">
        <v>10000</v>
      </c>
      <c r="F201" s="18">
        <f t="shared" si="27"/>
        <v>0</v>
      </c>
      <c r="G201" s="16">
        <f>SUM(H201:BJ201)</f>
        <v>10000</v>
      </c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6">
        <v>1000</v>
      </c>
      <c r="AW201" s="16">
        <v>1000</v>
      </c>
      <c r="AX201" s="16">
        <v>1000</v>
      </c>
      <c r="AY201" s="16">
        <v>1000</v>
      </c>
      <c r="AZ201" s="16">
        <v>1000</v>
      </c>
      <c r="BA201" s="16">
        <v>1000</v>
      </c>
      <c r="BB201" s="16">
        <v>0</v>
      </c>
      <c r="BC201" s="16">
        <v>1000</v>
      </c>
      <c r="BD201" s="16">
        <v>3000</v>
      </c>
    </row>
    <row r="202" spans="2:60" ht="39.6" hidden="1" x14ac:dyDescent="0.65">
      <c r="B202" s="31">
        <v>45668</v>
      </c>
      <c r="C202" s="40" t="s">
        <v>67</v>
      </c>
      <c r="D202" s="40">
        <f t="shared" si="28"/>
        <v>0</v>
      </c>
      <c r="E202" s="16">
        <v>5000</v>
      </c>
      <c r="F202" s="18">
        <f t="shared" si="27"/>
        <v>0</v>
      </c>
      <c r="G202" s="16">
        <f>SUM(H202:BJ202)</f>
        <v>5000</v>
      </c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6">
        <v>500</v>
      </c>
      <c r="AX202" s="16">
        <v>500</v>
      </c>
      <c r="AY202" s="16">
        <v>500</v>
      </c>
      <c r="AZ202" s="16">
        <v>0</v>
      </c>
      <c r="BA202" s="16">
        <v>500</v>
      </c>
      <c r="BB202" s="16">
        <v>500</v>
      </c>
      <c r="BC202" s="16">
        <v>0</v>
      </c>
      <c r="BD202" s="16">
        <v>1000</v>
      </c>
      <c r="BE202" s="16">
        <v>1500</v>
      </c>
    </row>
    <row r="203" spans="2:60" ht="39.6" hidden="1" x14ac:dyDescent="0.65">
      <c r="D203" s="40" t="e">
        <f t="shared" si="28"/>
        <v>#DIV/0!</v>
      </c>
      <c r="E203" s="16"/>
      <c r="F203" s="18">
        <f t="shared" si="27"/>
        <v>0</v>
      </c>
      <c r="G203" s="16">
        <f t="shared" si="26"/>
        <v>0</v>
      </c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</row>
    <row r="204" spans="2:60" ht="39.6" hidden="1" x14ac:dyDescent="0.65">
      <c r="D204" s="40" t="e">
        <f t="shared" si="28"/>
        <v>#DIV/0!</v>
      </c>
      <c r="E204" s="16"/>
      <c r="F204" s="18">
        <f t="shared" si="27"/>
        <v>0</v>
      </c>
      <c r="G204" s="16">
        <f t="shared" si="26"/>
        <v>0</v>
      </c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</row>
    <row r="205" spans="2:60" ht="39.6" hidden="1" x14ac:dyDescent="0.65">
      <c r="D205" s="40" t="e">
        <f t="shared" si="28"/>
        <v>#DIV/0!</v>
      </c>
      <c r="E205" s="16"/>
      <c r="F205" s="18">
        <f t="shared" si="27"/>
        <v>0</v>
      </c>
      <c r="G205" s="16">
        <f t="shared" si="26"/>
        <v>0</v>
      </c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</row>
    <row r="206" spans="2:60" ht="39.6" hidden="1" x14ac:dyDescent="0.65">
      <c r="B206" s="31">
        <v>45676</v>
      </c>
      <c r="C206" s="40" t="s">
        <v>69</v>
      </c>
      <c r="D206" s="40">
        <f t="shared" si="28"/>
        <v>0</v>
      </c>
      <c r="E206" s="16">
        <v>5000</v>
      </c>
      <c r="F206" s="18">
        <f>E206-G206</f>
        <v>0</v>
      </c>
      <c r="G206" s="16">
        <f>SUM(H206:BJ206)</f>
        <v>5000</v>
      </c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6">
        <v>0</v>
      </c>
      <c r="AX206" s="16">
        <v>3000</v>
      </c>
      <c r="AY206" s="16">
        <v>0</v>
      </c>
      <c r="AZ206" s="16">
        <v>0</v>
      </c>
      <c r="BA206" s="16">
        <v>0</v>
      </c>
      <c r="BB206" s="16">
        <v>0</v>
      </c>
      <c r="BC206" s="16">
        <v>0</v>
      </c>
      <c r="BD206" s="16">
        <v>0</v>
      </c>
      <c r="BE206" s="16">
        <v>0</v>
      </c>
      <c r="BF206" s="16">
        <v>2000</v>
      </c>
    </row>
    <row r="207" spans="2:60" ht="39.6" hidden="1" x14ac:dyDescent="0.65">
      <c r="B207" s="31">
        <v>45683</v>
      </c>
      <c r="C207" s="40" t="s">
        <v>44</v>
      </c>
      <c r="D207" s="40">
        <f t="shared" si="28"/>
        <v>0</v>
      </c>
      <c r="E207" s="16">
        <v>10000</v>
      </c>
      <c r="F207" s="18">
        <f t="shared" si="27"/>
        <v>0</v>
      </c>
      <c r="G207" s="16">
        <f t="shared" si="26"/>
        <v>10000</v>
      </c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6">
        <v>1000</v>
      </c>
      <c r="AZ207" s="16">
        <v>1000</v>
      </c>
      <c r="BA207" s="16">
        <v>1000</v>
      </c>
      <c r="BB207" s="16">
        <v>1000</v>
      </c>
      <c r="BC207" s="16">
        <v>1000</v>
      </c>
      <c r="BD207" s="16">
        <v>1000</v>
      </c>
      <c r="BE207" s="16">
        <v>1000</v>
      </c>
      <c r="BF207" s="16">
        <v>1000</v>
      </c>
      <c r="BG207" s="16">
        <v>1000</v>
      </c>
      <c r="BH207" s="16">
        <v>1000</v>
      </c>
    </row>
    <row r="208" spans="2:60" ht="39.6" hidden="1" x14ac:dyDescent="0.65">
      <c r="B208" s="31">
        <v>45683</v>
      </c>
      <c r="C208" s="40" t="s">
        <v>6</v>
      </c>
      <c r="D208" s="40">
        <f t="shared" si="28"/>
        <v>0</v>
      </c>
      <c r="E208" s="16">
        <v>20000</v>
      </c>
      <c r="F208" s="18">
        <f t="shared" si="27"/>
        <v>0</v>
      </c>
      <c r="G208" s="16">
        <f t="shared" si="26"/>
        <v>20000</v>
      </c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6">
        <v>2000</v>
      </c>
      <c r="AZ208" s="16">
        <v>2000</v>
      </c>
      <c r="BA208" s="16">
        <v>0</v>
      </c>
      <c r="BB208" s="16">
        <v>0</v>
      </c>
      <c r="BC208" s="16">
        <v>4000</v>
      </c>
      <c r="BD208" s="16">
        <v>2000</v>
      </c>
      <c r="BE208" s="16">
        <v>2000</v>
      </c>
      <c r="BF208" s="16">
        <v>2000</v>
      </c>
      <c r="BG208" s="16">
        <v>6000</v>
      </c>
    </row>
    <row r="209" spans="2:72" ht="39.6" hidden="1" x14ac:dyDescent="0.65">
      <c r="B209" s="31">
        <v>45690</v>
      </c>
      <c r="C209" s="40" t="s">
        <v>57</v>
      </c>
      <c r="D209" s="40">
        <f t="shared" si="28"/>
        <v>0</v>
      </c>
      <c r="E209" s="16">
        <v>10000</v>
      </c>
      <c r="F209" s="18">
        <f t="shared" si="27"/>
        <v>0</v>
      </c>
      <c r="G209" s="16">
        <f t="shared" si="26"/>
        <v>10000</v>
      </c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6">
        <v>1000</v>
      </c>
      <c r="BA209" s="16">
        <v>1000</v>
      </c>
      <c r="BB209" s="16">
        <v>1000</v>
      </c>
      <c r="BC209" s="16">
        <v>1000</v>
      </c>
      <c r="BD209" s="16">
        <v>1000</v>
      </c>
      <c r="BE209" s="16">
        <v>2000</v>
      </c>
      <c r="BF209" s="16">
        <v>3000</v>
      </c>
    </row>
    <row r="210" spans="2:72" ht="39.6" hidden="1" x14ac:dyDescent="0.65">
      <c r="B210" s="31">
        <v>45697</v>
      </c>
      <c r="C210" s="40" t="s">
        <v>70</v>
      </c>
      <c r="D210" s="40">
        <f t="shared" si="28"/>
        <v>0</v>
      </c>
      <c r="E210" s="16">
        <v>20000</v>
      </c>
      <c r="F210" s="18">
        <f t="shared" si="27"/>
        <v>0</v>
      </c>
      <c r="G210" s="16">
        <f t="shared" ref="G210:G221" si="29">SUM(H210:BJ210)</f>
        <v>20000</v>
      </c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6">
        <v>2000</v>
      </c>
      <c r="BB210" s="16">
        <v>2000</v>
      </c>
      <c r="BC210" s="16">
        <v>2000</v>
      </c>
      <c r="BD210" s="16">
        <v>2000</v>
      </c>
      <c r="BE210" s="16">
        <v>2000</v>
      </c>
      <c r="BF210" s="16">
        <v>2000</v>
      </c>
      <c r="BG210" s="16">
        <v>2000</v>
      </c>
      <c r="BH210" s="16">
        <v>2000</v>
      </c>
      <c r="BI210" s="16">
        <v>0</v>
      </c>
      <c r="BJ210" s="16">
        <v>4000</v>
      </c>
    </row>
    <row r="211" spans="2:72" ht="39.6" hidden="1" x14ac:dyDescent="0.65">
      <c r="B211" s="31">
        <v>45697</v>
      </c>
      <c r="C211" s="40" t="s">
        <v>22</v>
      </c>
      <c r="D211" s="40">
        <f t="shared" si="28"/>
        <v>0</v>
      </c>
      <c r="E211" s="16">
        <v>5000</v>
      </c>
      <c r="F211" s="18">
        <f t="shared" si="27"/>
        <v>0</v>
      </c>
      <c r="G211" s="16">
        <f>SUM(H211:BP211)</f>
        <v>5000</v>
      </c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6">
        <v>500</v>
      </c>
      <c r="BB211" s="16">
        <v>500</v>
      </c>
      <c r="BC211" s="16">
        <v>500</v>
      </c>
      <c r="BD211" s="16">
        <v>0</v>
      </c>
      <c r="BE211" s="16">
        <v>500</v>
      </c>
      <c r="BF211" s="16">
        <v>0</v>
      </c>
      <c r="BG211" s="16">
        <v>500</v>
      </c>
      <c r="BH211" s="16">
        <v>500</v>
      </c>
      <c r="BI211" s="16">
        <v>0</v>
      </c>
      <c r="BJ211" s="16">
        <v>0</v>
      </c>
      <c r="BK211" s="16">
        <v>0</v>
      </c>
      <c r="BL211" s="16">
        <v>1000</v>
      </c>
      <c r="BM211" s="16">
        <v>0</v>
      </c>
      <c r="BN211" s="16">
        <v>1000</v>
      </c>
    </row>
    <row r="212" spans="2:72" ht="39.6" hidden="1" x14ac:dyDescent="0.65">
      <c r="B212" s="31">
        <v>45704</v>
      </c>
      <c r="C212" s="40" t="s">
        <v>71</v>
      </c>
      <c r="D212" s="40">
        <f t="shared" si="28"/>
        <v>0</v>
      </c>
      <c r="E212" s="16">
        <v>5000</v>
      </c>
      <c r="F212" s="18">
        <f t="shared" si="27"/>
        <v>0</v>
      </c>
      <c r="G212" s="16">
        <f t="shared" si="29"/>
        <v>5000</v>
      </c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6">
        <v>3000</v>
      </c>
      <c r="BC212" s="16">
        <v>500</v>
      </c>
      <c r="BD212" s="16">
        <v>500</v>
      </c>
      <c r="BE212" s="16">
        <v>1000</v>
      </c>
    </row>
    <row r="213" spans="2:72" ht="39.6" hidden="1" x14ac:dyDescent="0.65">
      <c r="B213" s="31">
        <v>45711</v>
      </c>
      <c r="C213" s="40" t="s">
        <v>25</v>
      </c>
      <c r="D213" s="40">
        <f t="shared" si="28"/>
        <v>0</v>
      </c>
      <c r="E213" s="16">
        <v>1000</v>
      </c>
      <c r="F213" s="18">
        <f t="shared" si="27"/>
        <v>0</v>
      </c>
      <c r="G213" s="16">
        <f t="shared" si="29"/>
        <v>1000</v>
      </c>
      <c r="AW213" s="15"/>
      <c r="AX213" s="15"/>
      <c r="AY213" s="15"/>
      <c r="AZ213" s="15"/>
      <c r="BA213" s="15"/>
      <c r="BB213" s="15"/>
      <c r="BC213" s="16">
        <v>1000</v>
      </c>
    </row>
    <row r="214" spans="2:72" ht="39.6" hidden="1" x14ac:dyDescent="0.65">
      <c r="B214" s="31">
        <v>45711</v>
      </c>
      <c r="C214" s="40" t="s">
        <v>25</v>
      </c>
      <c r="D214" s="40">
        <f t="shared" si="28"/>
        <v>0</v>
      </c>
      <c r="E214" s="16">
        <v>10000</v>
      </c>
      <c r="F214" s="18">
        <f t="shared" si="27"/>
        <v>0</v>
      </c>
      <c r="G214" s="16">
        <f t="shared" ref="G214:G219" si="30">SUM(H214:BP214)</f>
        <v>10000</v>
      </c>
      <c r="AW214" s="15"/>
      <c r="AX214" s="15"/>
      <c r="AY214" s="15"/>
      <c r="AZ214" s="15"/>
      <c r="BA214" s="15"/>
      <c r="BB214" s="15"/>
      <c r="BC214" s="16">
        <v>1000</v>
      </c>
      <c r="BD214" s="16">
        <v>1000</v>
      </c>
      <c r="BE214" s="16">
        <v>1000</v>
      </c>
      <c r="BF214" s="16">
        <v>1000</v>
      </c>
      <c r="BG214" s="16">
        <v>1000</v>
      </c>
      <c r="BH214" s="16">
        <v>1000</v>
      </c>
      <c r="BI214" s="16">
        <v>1000</v>
      </c>
      <c r="BJ214" s="16">
        <v>0</v>
      </c>
      <c r="BK214" s="16">
        <v>3000</v>
      </c>
    </row>
    <row r="215" spans="2:72" ht="39.6" hidden="1" x14ac:dyDescent="0.65">
      <c r="B215" s="31">
        <v>45711</v>
      </c>
      <c r="C215" s="40" t="s">
        <v>72</v>
      </c>
      <c r="D215" s="40">
        <f t="shared" si="28"/>
        <v>0</v>
      </c>
      <c r="E215" s="16">
        <v>30000</v>
      </c>
      <c r="F215" s="18">
        <f t="shared" si="27"/>
        <v>0</v>
      </c>
      <c r="G215" s="16">
        <f t="shared" si="30"/>
        <v>30000</v>
      </c>
      <c r="AW215" s="15"/>
      <c r="AX215" s="15"/>
      <c r="AY215" s="15"/>
      <c r="AZ215" s="15"/>
      <c r="BA215" s="15"/>
      <c r="BB215" s="15"/>
      <c r="BC215" s="16">
        <v>3000</v>
      </c>
      <c r="BD215" s="16">
        <v>3000</v>
      </c>
      <c r="BE215" s="16">
        <v>3000</v>
      </c>
      <c r="BF215" s="16">
        <v>3000</v>
      </c>
      <c r="BG215" s="16">
        <v>3000</v>
      </c>
      <c r="BH215" s="16">
        <v>3000</v>
      </c>
      <c r="BI215" s="16">
        <v>3000</v>
      </c>
      <c r="BJ215" s="16">
        <v>3000</v>
      </c>
      <c r="BK215" s="16">
        <v>0</v>
      </c>
      <c r="BL215" s="16">
        <v>3000</v>
      </c>
      <c r="BM215" s="16">
        <v>3000</v>
      </c>
    </row>
    <row r="216" spans="2:72" ht="39.6" hidden="1" x14ac:dyDescent="0.65">
      <c r="B216" s="31">
        <v>45718</v>
      </c>
      <c r="C216" s="40" t="s">
        <v>73</v>
      </c>
      <c r="D216" s="40">
        <f t="shared" si="28"/>
        <v>0</v>
      </c>
      <c r="E216" s="16">
        <v>5000</v>
      </c>
      <c r="F216" s="18">
        <f t="shared" si="27"/>
        <v>0</v>
      </c>
      <c r="G216" s="16">
        <f t="shared" si="30"/>
        <v>5000</v>
      </c>
      <c r="AW216" s="15"/>
      <c r="AX216" s="15"/>
      <c r="AY216" s="15"/>
      <c r="AZ216" s="15"/>
      <c r="BA216" s="15"/>
      <c r="BB216" s="15"/>
      <c r="BC216" s="15"/>
      <c r="BD216" s="16">
        <v>500</v>
      </c>
      <c r="BE216" s="16">
        <v>500</v>
      </c>
      <c r="BF216" s="16">
        <v>500</v>
      </c>
      <c r="BG216" s="16">
        <v>0</v>
      </c>
      <c r="BH216" s="16">
        <v>1000</v>
      </c>
      <c r="BI216" s="16">
        <v>500</v>
      </c>
      <c r="BJ216" s="16">
        <v>0</v>
      </c>
      <c r="BK216" s="16">
        <v>1000</v>
      </c>
      <c r="BL216" s="16">
        <v>0</v>
      </c>
      <c r="BM216" s="16">
        <v>1000</v>
      </c>
    </row>
    <row r="217" spans="2:72" ht="39.6" hidden="1" x14ac:dyDescent="0.65">
      <c r="B217" s="31">
        <v>45718</v>
      </c>
      <c r="C217" s="40" t="s">
        <v>18</v>
      </c>
      <c r="D217" s="40">
        <f t="shared" si="28"/>
        <v>0</v>
      </c>
      <c r="E217" s="16">
        <v>5000</v>
      </c>
      <c r="F217" s="18">
        <f t="shared" si="27"/>
        <v>0</v>
      </c>
      <c r="G217" s="16">
        <f t="shared" si="30"/>
        <v>5000</v>
      </c>
      <c r="AW217" s="15"/>
      <c r="AX217" s="15"/>
      <c r="AY217" s="15"/>
      <c r="AZ217" s="15"/>
      <c r="BA217" s="15"/>
      <c r="BB217" s="15"/>
      <c r="BC217" s="15"/>
      <c r="BD217" s="16">
        <v>500</v>
      </c>
      <c r="BE217" s="16">
        <v>500</v>
      </c>
      <c r="BF217" s="16">
        <v>500</v>
      </c>
      <c r="BG217" s="16">
        <v>500</v>
      </c>
      <c r="BH217" s="16">
        <v>500</v>
      </c>
      <c r="BI217" s="16">
        <v>500</v>
      </c>
      <c r="BJ217" s="16">
        <v>500</v>
      </c>
      <c r="BK217" s="16">
        <v>500</v>
      </c>
      <c r="BL217" s="16">
        <v>0</v>
      </c>
      <c r="BM217" s="16">
        <v>0</v>
      </c>
      <c r="BN217" s="16">
        <v>1000</v>
      </c>
    </row>
    <row r="218" spans="2:72" ht="39.6" hidden="1" x14ac:dyDescent="0.65">
      <c r="B218" s="31">
        <v>45718</v>
      </c>
      <c r="C218" s="40" t="s">
        <v>29</v>
      </c>
      <c r="D218" s="40">
        <f t="shared" si="28"/>
        <v>0</v>
      </c>
      <c r="E218" s="16">
        <v>20000</v>
      </c>
      <c r="F218" s="18">
        <f t="shared" si="27"/>
        <v>0</v>
      </c>
      <c r="G218" s="16">
        <f t="shared" si="30"/>
        <v>20000</v>
      </c>
      <c r="AW218" s="15"/>
      <c r="AX218" s="15"/>
      <c r="AY218" s="15"/>
      <c r="AZ218" s="15"/>
      <c r="BA218" s="15"/>
      <c r="BB218" s="15"/>
      <c r="BC218" s="15"/>
      <c r="BD218" s="16">
        <v>2000</v>
      </c>
      <c r="BE218" s="16">
        <v>2000</v>
      </c>
      <c r="BF218" s="16">
        <v>2000</v>
      </c>
      <c r="BG218" s="16">
        <v>2000</v>
      </c>
      <c r="BH218" s="16">
        <v>2000</v>
      </c>
      <c r="BI218" s="16">
        <v>2000</v>
      </c>
      <c r="BJ218" s="16">
        <v>0</v>
      </c>
      <c r="BK218" s="16">
        <v>0</v>
      </c>
      <c r="BL218" s="16">
        <v>2000</v>
      </c>
      <c r="BM218" s="16">
        <v>0</v>
      </c>
      <c r="BN218" s="16">
        <v>6000</v>
      </c>
    </row>
    <row r="219" spans="2:72" ht="39.6" hidden="1" x14ac:dyDescent="0.65">
      <c r="B219" s="31">
        <v>45725</v>
      </c>
      <c r="C219" s="40" t="s">
        <v>79</v>
      </c>
      <c r="D219" s="40">
        <f t="shared" si="28"/>
        <v>0</v>
      </c>
      <c r="E219" s="16">
        <v>10000</v>
      </c>
      <c r="F219" s="18">
        <f t="shared" si="27"/>
        <v>0</v>
      </c>
      <c r="G219" s="16">
        <f t="shared" si="30"/>
        <v>10000</v>
      </c>
      <c r="AW219" s="15"/>
      <c r="AX219" s="15"/>
      <c r="AY219" s="15"/>
      <c r="AZ219" s="15"/>
      <c r="BA219" s="15"/>
      <c r="BB219" s="15"/>
      <c r="BC219" s="15"/>
      <c r="BD219" s="15"/>
      <c r="BE219" s="16">
        <v>0</v>
      </c>
      <c r="BF219" s="16">
        <v>1000</v>
      </c>
      <c r="BG219" s="16">
        <v>1000</v>
      </c>
      <c r="BH219" s="16">
        <v>1000</v>
      </c>
      <c r="BI219" s="16">
        <v>0</v>
      </c>
      <c r="BJ219" s="16">
        <v>1000</v>
      </c>
      <c r="BK219" s="16">
        <v>1000</v>
      </c>
      <c r="BL219" s="16">
        <v>0</v>
      </c>
      <c r="BM219" s="16">
        <v>1000</v>
      </c>
      <c r="BN219" s="16">
        <v>1000</v>
      </c>
      <c r="BO219" s="16">
        <v>0</v>
      </c>
      <c r="BP219" s="16">
        <v>3000</v>
      </c>
    </row>
    <row r="220" spans="2:72" ht="39.6" hidden="1" x14ac:dyDescent="0.65">
      <c r="B220" s="31">
        <v>45732</v>
      </c>
      <c r="C220" s="40" t="s">
        <v>80</v>
      </c>
      <c r="D220" s="40">
        <f t="shared" si="28"/>
        <v>0</v>
      </c>
      <c r="E220" s="16">
        <v>10000</v>
      </c>
      <c r="F220" s="18">
        <f t="shared" si="27"/>
        <v>0</v>
      </c>
      <c r="G220" s="16">
        <f t="shared" si="29"/>
        <v>10000</v>
      </c>
      <c r="AW220" s="15"/>
      <c r="AX220" s="15"/>
      <c r="AY220" s="15"/>
      <c r="AZ220" s="15"/>
      <c r="BA220" s="15"/>
      <c r="BB220" s="15"/>
      <c r="BC220" s="15"/>
      <c r="BD220" s="15"/>
      <c r="BE220" s="15"/>
      <c r="BF220" s="16">
        <v>1000</v>
      </c>
      <c r="BG220" s="16">
        <v>1000</v>
      </c>
      <c r="BH220" s="16">
        <v>1000</v>
      </c>
      <c r="BI220" s="16">
        <v>1000</v>
      </c>
      <c r="BJ220" s="16">
        <v>6000</v>
      </c>
    </row>
    <row r="221" spans="2:72" ht="39.6" hidden="1" x14ac:dyDescent="0.65">
      <c r="B221" s="31">
        <v>45732</v>
      </c>
      <c r="C221" s="40" t="s">
        <v>71</v>
      </c>
      <c r="D221" s="40">
        <f t="shared" si="28"/>
        <v>0</v>
      </c>
      <c r="E221" s="16">
        <v>3000</v>
      </c>
      <c r="F221" s="18">
        <f t="shared" si="27"/>
        <v>0</v>
      </c>
      <c r="G221" s="16">
        <f t="shared" si="29"/>
        <v>3000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6">
        <v>500</v>
      </c>
      <c r="BG221" s="16">
        <v>500</v>
      </c>
      <c r="BH221" s="16">
        <v>500</v>
      </c>
      <c r="BI221" s="16">
        <v>1500</v>
      </c>
    </row>
    <row r="222" spans="2:72" ht="39.6" hidden="1" x14ac:dyDescent="0.65">
      <c r="B222" s="31">
        <v>45739</v>
      </c>
      <c r="C222" s="40" t="s">
        <v>81</v>
      </c>
      <c r="D222" s="40">
        <f t="shared" si="28"/>
        <v>0</v>
      </c>
      <c r="E222" s="16">
        <v>10000</v>
      </c>
      <c r="F222" s="18">
        <f t="shared" si="27"/>
        <v>0</v>
      </c>
      <c r="G222" s="16">
        <f t="shared" ref="G222:G223" si="31">SUM(H222:CL222)</f>
        <v>10000</v>
      </c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6">
        <v>1000</v>
      </c>
      <c r="BH222" s="16">
        <v>1000</v>
      </c>
      <c r="BI222" s="16">
        <v>1000</v>
      </c>
      <c r="BJ222" s="16">
        <v>1000</v>
      </c>
      <c r="BK222" s="16">
        <v>1000</v>
      </c>
      <c r="BL222" s="16">
        <v>4000</v>
      </c>
      <c r="BM222" s="16">
        <v>0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T222" s="16">
        <v>1000</v>
      </c>
    </row>
    <row r="223" spans="2:72" ht="39.6" hidden="1" x14ac:dyDescent="0.65">
      <c r="B223" s="31">
        <v>45800</v>
      </c>
      <c r="C223" s="40" t="s">
        <v>82</v>
      </c>
      <c r="D223" s="40">
        <f t="shared" si="28"/>
        <v>0</v>
      </c>
      <c r="E223" s="16">
        <v>20000</v>
      </c>
      <c r="F223" s="18">
        <f t="shared" si="27"/>
        <v>0</v>
      </c>
      <c r="G223" s="16">
        <f t="shared" si="31"/>
        <v>20000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6">
        <v>2000</v>
      </c>
      <c r="BH223" s="16">
        <v>2000</v>
      </c>
      <c r="BI223" s="16">
        <v>2000</v>
      </c>
      <c r="BJ223" s="16">
        <v>0</v>
      </c>
      <c r="BK223" s="16">
        <v>2000</v>
      </c>
      <c r="BL223" s="16">
        <v>2000</v>
      </c>
      <c r="BM223" s="16">
        <v>2000</v>
      </c>
      <c r="BN223" s="16">
        <v>2000</v>
      </c>
      <c r="BO223" s="16">
        <v>2000</v>
      </c>
      <c r="BP223" s="16">
        <v>2000</v>
      </c>
      <c r="BQ223" s="16">
        <v>0</v>
      </c>
      <c r="BR223" s="16">
        <v>2000</v>
      </c>
    </row>
    <row r="224" spans="2:72" ht="39.6" hidden="1" x14ac:dyDescent="0.65">
      <c r="B224" s="31">
        <v>45746</v>
      </c>
      <c r="C224" s="40" t="s">
        <v>83</v>
      </c>
      <c r="D224" s="40">
        <f t="shared" si="28"/>
        <v>0</v>
      </c>
      <c r="E224" s="16">
        <v>5000</v>
      </c>
      <c r="F224" s="18">
        <f t="shared" si="27"/>
        <v>0</v>
      </c>
      <c r="G224" s="16">
        <f t="shared" ref="G224:G225" si="32">SUM(H224:BP224)</f>
        <v>5000</v>
      </c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6">
        <v>500</v>
      </c>
      <c r="BI224" s="16">
        <v>500</v>
      </c>
      <c r="BJ224" s="16">
        <v>500</v>
      </c>
      <c r="BK224" s="16">
        <v>500</v>
      </c>
      <c r="BL224" s="16">
        <v>500</v>
      </c>
      <c r="BM224" s="16">
        <v>2500</v>
      </c>
    </row>
    <row r="225" spans="2:89" ht="39.6" hidden="1" x14ac:dyDescent="0.65">
      <c r="B225" s="31">
        <v>45753</v>
      </c>
      <c r="C225" s="40" t="s">
        <v>6</v>
      </c>
      <c r="D225" s="40">
        <f t="shared" si="28"/>
        <v>0</v>
      </c>
      <c r="E225" s="16">
        <v>30000</v>
      </c>
      <c r="F225" s="18">
        <f t="shared" si="27"/>
        <v>0</v>
      </c>
      <c r="G225" s="16">
        <f t="shared" si="32"/>
        <v>30000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6">
        <v>3000</v>
      </c>
      <c r="BI225" s="16">
        <v>3000</v>
      </c>
      <c r="BJ225" s="16">
        <v>0</v>
      </c>
      <c r="BK225" s="16">
        <v>3000</v>
      </c>
      <c r="BL225" s="16">
        <v>3000</v>
      </c>
      <c r="BM225" s="16">
        <v>3000</v>
      </c>
      <c r="BN225" s="16">
        <v>6000</v>
      </c>
      <c r="BO225" s="16">
        <v>6000</v>
      </c>
      <c r="BP225" s="16">
        <v>3000</v>
      </c>
    </row>
    <row r="226" spans="2:89" ht="39.6" hidden="1" x14ac:dyDescent="0.65">
      <c r="B226" s="31">
        <v>45753</v>
      </c>
      <c r="C226" s="40" t="s">
        <v>71</v>
      </c>
      <c r="D226" s="40">
        <f t="shared" si="28"/>
        <v>0</v>
      </c>
      <c r="E226" s="16">
        <v>5000</v>
      </c>
      <c r="F226" s="18">
        <f t="shared" si="27"/>
        <v>0</v>
      </c>
      <c r="G226" s="16">
        <f t="shared" ref="G226:G289" si="33">SUM(H226:CL226)</f>
        <v>5000</v>
      </c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6">
        <v>500</v>
      </c>
      <c r="BJ226" s="16">
        <v>500</v>
      </c>
      <c r="BK226" s="16">
        <v>500</v>
      </c>
      <c r="BL226" s="16">
        <v>500</v>
      </c>
      <c r="BM226" s="16">
        <v>500</v>
      </c>
      <c r="BN226" s="16">
        <v>500</v>
      </c>
      <c r="BO226" s="16">
        <v>500</v>
      </c>
      <c r="BP226" s="16">
        <v>0</v>
      </c>
      <c r="BQ226" s="16">
        <v>1500</v>
      </c>
    </row>
    <row r="227" spans="2:89" ht="39.6" hidden="1" x14ac:dyDescent="0.65">
      <c r="B227" s="31">
        <v>45760</v>
      </c>
      <c r="C227" s="40" t="s">
        <v>84</v>
      </c>
      <c r="D227" s="40">
        <f t="shared" si="28"/>
        <v>0</v>
      </c>
      <c r="E227" s="16">
        <v>20000</v>
      </c>
      <c r="F227" s="18">
        <f t="shared" si="27"/>
        <v>0</v>
      </c>
      <c r="G227" s="16">
        <f t="shared" si="33"/>
        <v>20000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6">
        <v>2000</v>
      </c>
      <c r="BK227" s="16">
        <v>2000</v>
      </c>
      <c r="BL227" s="16">
        <v>2000</v>
      </c>
      <c r="BM227" s="16">
        <v>2000</v>
      </c>
      <c r="BN227" s="16">
        <v>2000</v>
      </c>
      <c r="BO227" s="16">
        <v>2000</v>
      </c>
      <c r="BP227" s="16">
        <v>2000</v>
      </c>
      <c r="BQ227" s="16">
        <v>2000</v>
      </c>
      <c r="BR227" s="16">
        <v>2000</v>
      </c>
      <c r="BS227" s="16">
        <v>2000</v>
      </c>
    </row>
    <row r="228" spans="2:89" ht="39.6" hidden="1" x14ac:dyDescent="0.65">
      <c r="B228" s="31">
        <v>45768</v>
      </c>
      <c r="C228" s="40" t="s">
        <v>67</v>
      </c>
      <c r="D228" s="40">
        <f t="shared" si="28"/>
        <v>0</v>
      </c>
      <c r="E228" s="16">
        <v>10000</v>
      </c>
      <c r="F228" s="18">
        <f t="shared" ref="F228:F285" si="34">E228-G228</f>
        <v>0</v>
      </c>
      <c r="G228" s="16">
        <f t="shared" si="33"/>
        <v>10000</v>
      </c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6">
        <v>2000</v>
      </c>
      <c r="BL228" s="16">
        <v>0</v>
      </c>
      <c r="BM228" s="16">
        <v>2000</v>
      </c>
      <c r="BN228" s="16">
        <v>1000</v>
      </c>
      <c r="BO228" s="16">
        <v>1000</v>
      </c>
      <c r="BP228" s="16">
        <v>1000</v>
      </c>
      <c r="BQ228" s="16">
        <v>1000</v>
      </c>
      <c r="BR228" s="16">
        <v>0</v>
      </c>
      <c r="BS228" s="16">
        <v>2000</v>
      </c>
    </row>
    <row r="229" spans="2:89" ht="39.6" hidden="1" x14ac:dyDescent="0.65">
      <c r="B229" s="31">
        <v>45774</v>
      </c>
      <c r="C229" s="40" t="s">
        <v>25</v>
      </c>
      <c r="D229" s="40">
        <f t="shared" si="28"/>
        <v>0</v>
      </c>
      <c r="E229" s="16">
        <v>10000</v>
      </c>
      <c r="F229" s="18">
        <f>E229-G229</f>
        <v>0</v>
      </c>
      <c r="G229" s="16">
        <f t="shared" si="33"/>
        <v>10000</v>
      </c>
      <c r="BE229" s="15"/>
      <c r="BF229" s="15"/>
      <c r="BG229" s="15"/>
      <c r="BH229" s="15"/>
      <c r="BI229" s="15"/>
      <c r="BJ229" s="15"/>
      <c r="BK229" s="15"/>
      <c r="BL229" s="16">
        <v>1000</v>
      </c>
      <c r="BM229" s="16">
        <v>1000</v>
      </c>
      <c r="BN229" s="16">
        <v>1000</v>
      </c>
      <c r="BO229" s="16">
        <v>1000</v>
      </c>
      <c r="BP229" s="16">
        <v>3000</v>
      </c>
      <c r="BQ229" s="16">
        <v>3000</v>
      </c>
      <c r="BR229" s="16">
        <v>0</v>
      </c>
    </row>
    <row r="230" spans="2:89" ht="39.6" hidden="1" x14ac:dyDescent="0.65">
      <c r="B230" s="31">
        <v>45774</v>
      </c>
      <c r="C230" s="40" t="s">
        <v>44</v>
      </c>
      <c r="D230" s="40">
        <f t="shared" si="28"/>
        <v>0</v>
      </c>
      <c r="E230" s="16">
        <v>5000</v>
      </c>
      <c r="F230" s="18">
        <f t="shared" si="34"/>
        <v>0</v>
      </c>
      <c r="G230" s="16">
        <f t="shared" si="33"/>
        <v>5000</v>
      </c>
      <c r="BE230" s="15"/>
      <c r="BF230" s="15"/>
      <c r="BG230" s="15"/>
      <c r="BH230" s="15"/>
      <c r="BI230" s="15"/>
      <c r="BJ230" s="15"/>
      <c r="BK230" s="15"/>
      <c r="BL230" s="16">
        <v>500</v>
      </c>
      <c r="BM230" s="16">
        <v>500</v>
      </c>
      <c r="BN230" s="16">
        <v>500</v>
      </c>
      <c r="BO230" s="16">
        <v>500</v>
      </c>
      <c r="BP230" s="16">
        <v>500</v>
      </c>
      <c r="BQ230" s="16">
        <v>500</v>
      </c>
      <c r="BR230" s="16">
        <v>500</v>
      </c>
      <c r="BS230" s="16">
        <v>500</v>
      </c>
      <c r="BT230" s="16">
        <v>500</v>
      </c>
      <c r="BU230" s="16">
        <v>500</v>
      </c>
    </row>
    <row r="231" spans="2:89" ht="39.6" hidden="1" x14ac:dyDescent="0.65">
      <c r="B231" s="31">
        <v>45788</v>
      </c>
      <c r="C231" s="40" t="s">
        <v>85</v>
      </c>
      <c r="D231" s="40">
        <f t="shared" si="28"/>
        <v>0</v>
      </c>
      <c r="E231" s="16">
        <v>30000</v>
      </c>
      <c r="F231" s="18">
        <f t="shared" si="34"/>
        <v>0</v>
      </c>
      <c r="G231" s="16">
        <f t="shared" si="33"/>
        <v>30000</v>
      </c>
      <c r="BE231" s="15"/>
      <c r="BF231" s="15"/>
      <c r="BG231" s="15"/>
      <c r="BH231" s="15"/>
      <c r="BI231" s="15"/>
      <c r="BJ231" s="15"/>
      <c r="BK231" s="15"/>
      <c r="BL231" s="15"/>
      <c r="BM231" s="15"/>
      <c r="BN231" s="16">
        <v>3000</v>
      </c>
      <c r="BO231" s="16">
        <v>0</v>
      </c>
      <c r="BP231" s="16">
        <v>0</v>
      </c>
      <c r="BQ231" s="16">
        <v>0</v>
      </c>
      <c r="BR231" s="16">
        <v>0</v>
      </c>
      <c r="BS231" s="16">
        <v>6000</v>
      </c>
      <c r="BT231" s="16">
        <v>3000</v>
      </c>
      <c r="BU231" s="16">
        <v>3000</v>
      </c>
      <c r="BV231" s="16">
        <v>0</v>
      </c>
      <c r="BW231" s="16">
        <v>3000</v>
      </c>
      <c r="BX231" s="16">
        <v>3000</v>
      </c>
      <c r="BY231" s="16">
        <v>0</v>
      </c>
      <c r="BZ231" s="16">
        <v>9000</v>
      </c>
    </row>
    <row r="232" spans="2:89" ht="39.6" hidden="1" x14ac:dyDescent="0.65">
      <c r="B232" s="31">
        <v>45788</v>
      </c>
      <c r="C232" s="40" t="s">
        <v>86</v>
      </c>
      <c r="D232" s="40">
        <f t="shared" si="28"/>
        <v>0</v>
      </c>
      <c r="E232" s="16">
        <v>10000</v>
      </c>
      <c r="F232" s="18">
        <f t="shared" si="34"/>
        <v>0</v>
      </c>
      <c r="G232" s="16">
        <f t="shared" si="33"/>
        <v>10000</v>
      </c>
      <c r="BE232" s="15"/>
      <c r="BF232" s="15"/>
      <c r="BG232" s="15"/>
      <c r="BH232" s="15"/>
      <c r="BI232" s="15"/>
      <c r="BJ232" s="15"/>
      <c r="BK232" s="15"/>
      <c r="BL232" s="15"/>
      <c r="BM232" s="15"/>
      <c r="BN232" s="16">
        <v>1000</v>
      </c>
      <c r="BO232" s="16">
        <v>1000</v>
      </c>
      <c r="BP232" s="16">
        <v>1000</v>
      </c>
      <c r="BQ232" s="16">
        <v>0</v>
      </c>
      <c r="BR232" s="16">
        <v>1000</v>
      </c>
      <c r="BS232" s="16">
        <v>1000</v>
      </c>
      <c r="BT232" s="16">
        <v>1000</v>
      </c>
      <c r="BU232" s="16">
        <v>1000</v>
      </c>
      <c r="BV232" s="16">
        <v>1000</v>
      </c>
      <c r="BW232" s="16">
        <v>1000</v>
      </c>
      <c r="BX232" s="16">
        <v>1000</v>
      </c>
    </row>
    <row r="233" spans="2:89" ht="39.6" hidden="1" x14ac:dyDescent="0.65">
      <c r="B233" s="31">
        <v>45793</v>
      </c>
      <c r="C233" s="40" t="s">
        <v>89</v>
      </c>
      <c r="D233" s="40">
        <f t="shared" si="28"/>
        <v>0</v>
      </c>
      <c r="E233" s="16">
        <v>5000</v>
      </c>
      <c r="F233" s="18">
        <f t="shared" si="34"/>
        <v>0</v>
      </c>
      <c r="G233" s="16">
        <f t="shared" si="33"/>
        <v>5000</v>
      </c>
      <c r="BE233" s="15"/>
      <c r="BF233" s="15"/>
      <c r="BG233" s="15"/>
      <c r="BH233" s="15"/>
      <c r="BI233" s="15"/>
      <c r="BJ233" s="15"/>
      <c r="BK233" s="15"/>
      <c r="BL233" s="15"/>
      <c r="BM233" s="15"/>
      <c r="BN233" s="15">
        <v>0</v>
      </c>
      <c r="BO233" s="16">
        <v>500</v>
      </c>
      <c r="BP233" s="16">
        <v>500</v>
      </c>
      <c r="BQ233" s="16">
        <v>4000</v>
      </c>
      <c r="BR233" s="16">
        <v>0</v>
      </c>
    </row>
    <row r="234" spans="2:89" ht="39.6" hidden="1" x14ac:dyDescent="0.65">
      <c r="B234" s="31">
        <v>45793</v>
      </c>
      <c r="C234" s="40" t="s">
        <v>90</v>
      </c>
      <c r="D234" s="40">
        <f t="shared" si="28"/>
        <v>0</v>
      </c>
      <c r="E234" s="16">
        <v>5000</v>
      </c>
      <c r="F234" s="18">
        <f t="shared" si="34"/>
        <v>0</v>
      </c>
      <c r="G234" s="16">
        <f t="shared" si="33"/>
        <v>5000</v>
      </c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6">
        <v>500</v>
      </c>
      <c r="BP234" s="16">
        <v>0</v>
      </c>
      <c r="BQ234" s="16">
        <v>0</v>
      </c>
      <c r="BR234" s="16">
        <v>1000</v>
      </c>
      <c r="BS234" s="16">
        <v>0</v>
      </c>
      <c r="BT234" s="16">
        <v>0</v>
      </c>
      <c r="BU234" s="16">
        <v>0</v>
      </c>
      <c r="BV234" s="16">
        <v>500</v>
      </c>
      <c r="BW234" s="16">
        <v>2500</v>
      </c>
      <c r="BX234" s="16">
        <v>500</v>
      </c>
    </row>
    <row r="235" spans="2:89" ht="40.200000000000003" hidden="1" x14ac:dyDescent="0.7">
      <c r="B235" s="31">
        <v>45793</v>
      </c>
      <c r="C235" s="40" t="s">
        <v>91</v>
      </c>
      <c r="D235" s="40">
        <f t="shared" si="28"/>
        <v>0</v>
      </c>
      <c r="E235" s="61">
        <v>10000</v>
      </c>
      <c r="F235" s="18">
        <f t="shared" si="34"/>
        <v>0</v>
      </c>
      <c r="G235" s="16">
        <f t="shared" si="33"/>
        <v>10000</v>
      </c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6">
        <v>1000</v>
      </c>
      <c r="BP235" s="16">
        <v>1000</v>
      </c>
      <c r="BQ235" s="16">
        <v>1000</v>
      </c>
      <c r="BR235" s="16">
        <v>0</v>
      </c>
      <c r="BS235" s="16">
        <v>1000</v>
      </c>
      <c r="BT235" s="16">
        <v>1000</v>
      </c>
      <c r="BU235" s="16">
        <v>1000</v>
      </c>
      <c r="BV235" s="16">
        <v>1000</v>
      </c>
      <c r="BW235" s="16">
        <v>1000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1000</v>
      </c>
      <c r="CF235" s="16">
        <v>0</v>
      </c>
      <c r="CG235" s="16">
        <v>0</v>
      </c>
      <c r="CH235" s="16">
        <v>0</v>
      </c>
      <c r="CI235" s="16">
        <v>0</v>
      </c>
      <c r="CJ235" s="16">
        <v>0</v>
      </c>
      <c r="CK235" s="16">
        <v>1000</v>
      </c>
    </row>
    <row r="236" spans="2:89" ht="39.6" hidden="1" x14ac:dyDescent="0.65">
      <c r="B236" s="31">
        <v>45793</v>
      </c>
      <c r="C236" s="40" t="s">
        <v>92</v>
      </c>
      <c r="D236" s="40">
        <f t="shared" si="28"/>
        <v>0</v>
      </c>
      <c r="E236" s="16">
        <v>10000</v>
      </c>
      <c r="F236" s="18">
        <f t="shared" si="34"/>
        <v>0</v>
      </c>
      <c r="G236" s="16">
        <f t="shared" si="33"/>
        <v>10000</v>
      </c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6">
        <v>1000</v>
      </c>
      <c r="BP236" s="16">
        <v>1000</v>
      </c>
      <c r="BQ236" s="16">
        <v>1000</v>
      </c>
      <c r="BR236" s="16">
        <v>1000</v>
      </c>
      <c r="BS236" s="16">
        <v>1000</v>
      </c>
      <c r="BT236" s="16">
        <v>1000</v>
      </c>
      <c r="BU236" s="16">
        <v>1000</v>
      </c>
      <c r="BV236" s="16">
        <v>1000</v>
      </c>
      <c r="BW236" s="16">
        <v>1000</v>
      </c>
      <c r="BX236" s="16">
        <v>1000</v>
      </c>
    </row>
    <row r="237" spans="2:89" ht="39.6" hidden="1" x14ac:dyDescent="0.65">
      <c r="B237" s="31">
        <v>45793</v>
      </c>
      <c r="C237" s="40" t="s">
        <v>29</v>
      </c>
      <c r="D237" s="40">
        <f t="shared" si="28"/>
        <v>0</v>
      </c>
      <c r="E237" s="16">
        <v>20000</v>
      </c>
      <c r="F237" s="18">
        <f t="shared" si="34"/>
        <v>0</v>
      </c>
      <c r="G237" s="16">
        <f t="shared" si="33"/>
        <v>20000</v>
      </c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6">
        <v>0</v>
      </c>
      <c r="BP237" s="16">
        <v>2000</v>
      </c>
      <c r="BQ237" s="16">
        <v>0</v>
      </c>
      <c r="BR237" s="16">
        <v>0</v>
      </c>
      <c r="BS237" s="16">
        <v>0</v>
      </c>
      <c r="BT237" s="16">
        <v>0</v>
      </c>
      <c r="BU237" s="16">
        <v>0</v>
      </c>
      <c r="BV237" s="16">
        <v>6000</v>
      </c>
      <c r="BW237" s="16">
        <v>2000</v>
      </c>
      <c r="BX237" s="16">
        <v>2000</v>
      </c>
      <c r="BY237" s="16">
        <v>0</v>
      </c>
      <c r="BZ237" s="16">
        <v>4000</v>
      </c>
      <c r="CA237" s="16">
        <v>4000</v>
      </c>
    </row>
    <row r="238" spans="2:89" ht="39.6" hidden="1" x14ac:dyDescent="0.65">
      <c r="B238" s="31">
        <v>45802</v>
      </c>
      <c r="C238" s="40" t="s">
        <v>6</v>
      </c>
      <c r="D238" s="40">
        <f t="shared" si="28"/>
        <v>0</v>
      </c>
      <c r="E238" s="16">
        <v>30000</v>
      </c>
      <c r="F238" s="18">
        <f t="shared" si="34"/>
        <v>0</v>
      </c>
      <c r="G238" s="16">
        <f t="shared" si="33"/>
        <v>30000</v>
      </c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6">
        <v>3000</v>
      </c>
      <c r="BQ238" s="16">
        <v>0</v>
      </c>
      <c r="BR238" s="16">
        <v>4000</v>
      </c>
      <c r="BS238" s="16">
        <v>5000</v>
      </c>
      <c r="BT238" s="16">
        <v>3000</v>
      </c>
      <c r="BU238" s="16">
        <v>3000</v>
      </c>
      <c r="BV238" s="16">
        <v>3000</v>
      </c>
      <c r="BW238" s="16">
        <v>9000</v>
      </c>
    </row>
    <row r="239" spans="2:89" ht="39.6" hidden="1" x14ac:dyDescent="0.65">
      <c r="B239" s="31">
        <v>45809</v>
      </c>
      <c r="C239" s="40" t="s">
        <v>79</v>
      </c>
      <c r="D239" s="40">
        <f t="shared" si="28"/>
        <v>0</v>
      </c>
      <c r="E239" s="16">
        <v>10000</v>
      </c>
      <c r="F239" s="18">
        <f t="shared" si="34"/>
        <v>0</v>
      </c>
      <c r="G239" s="16">
        <f t="shared" si="33"/>
        <v>10000</v>
      </c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6">
        <v>0</v>
      </c>
      <c r="BR239" s="16">
        <v>1000</v>
      </c>
      <c r="BS239" s="16">
        <v>1000</v>
      </c>
      <c r="BT239" s="16">
        <v>1000</v>
      </c>
      <c r="BU239" s="16">
        <v>1000</v>
      </c>
      <c r="BV239" s="16">
        <v>1000</v>
      </c>
      <c r="BW239" s="16">
        <v>0</v>
      </c>
      <c r="BX239" s="16">
        <v>1000</v>
      </c>
      <c r="BY239" s="16">
        <v>1000</v>
      </c>
      <c r="BZ239" s="16">
        <v>1000</v>
      </c>
      <c r="CA239" s="16">
        <v>1000</v>
      </c>
      <c r="CB239" s="16">
        <v>1000</v>
      </c>
    </row>
    <row r="240" spans="2:89" ht="39.6" hidden="1" x14ac:dyDescent="0.65">
      <c r="B240" s="31">
        <v>45816</v>
      </c>
      <c r="C240" s="40" t="s">
        <v>114</v>
      </c>
      <c r="D240" s="40">
        <f t="shared" si="28"/>
        <v>0</v>
      </c>
      <c r="E240" s="16">
        <v>20000</v>
      </c>
      <c r="F240" s="18">
        <f t="shared" si="34"/>
        <v>0</v>
      </c>
      <c r="G240" s="16">
        <f t="shared" si="33"/>
        <v>20000</v>
      </c>
      <c r="BN240" s="15"/>
      <c r="BO240" s="15"/>
      <c r="BP240" s="15"/>
      <c r="BQ240" s="15"/>
      <c r="BR240" s="16">
        <v>0</v>
      </c>
      <c r="BS240" s="16">
        <v>2000</v>
      </c>
      <c r="BT240" s="16">
        <v>2000</v>
      </c>
      <c r="BU240" s="16">
        <v>0</v>
      </c>
      <c r="BV240" s="16">
        <v>2000</v>
      </c>
      <c r="BW240" s="16">
        <v>2000</v>
      </c>
      <c r="BX240" s="16">
        <v>0</v>
      </c>
      <c r="BY240" s="16">
        <v>2000</v>
      </c>
      <c r="BZ240" s="16">
        <v>2000</v>
      </c>
      <c r="CA240" s="16">
        <v>2000</v>
      </c>
      <c r="CB240" s="16">
        <v>2000</v>
      </c>
      <c r="CC240" s="16">
        <v>2000</v>
      </c>
      <c r="CD240" s="16">
        <v>2000</v>
      </c>
    </row>
    <row r="241" spans="2:89" ht="39.6" hidden="1" x14ac:dyDescent="0.65">
      <c r="B241" s="31">
        <v>45816</v>
      </c>
      <c r="C241" s="40" t="s">
        <v>93</v>
      </c>
      <c r="D241" s="40">
        <f t="shared" si="28"/>
        <v>0</v>
      </c>
      <c r="E241" s="16">
        <v>10000</v>
      </c>
      <c r="F241" s="18">
        <f t="shared" si="34"/>
        <v>0</v>
      </c>
      <c r="G241" s="16">
        <f t="shared" si="33"/>
        <v>10000</v>
      </c>
      <c r="BN241" s="15"/>
      <c r="BO241" s="15"/>
      <c r="BP241" s="15"/>
      <c r="BQ241" s="15"/>
      <c r="BR241" s="16">
        <v>0</v>
      </c>
      <c r="BS241" s="16">
        <v>1000</v>
      </c>
      <c r="BT241" s="16">
        <v>1000</v>
      </c>
      <c r="BU241" s="16">
        <v>1000</v>
      </c>
      <c r="BV241" s="16">
        <v>1000</v>
      </c>
      <c r="BW241" s="16">
        <v>1000</v>
      </c>
      <c r="BX241" s="16">
        <v>1000</v>
      </c>
      <c r="BY241" s="16">
        <v>1000</v>
      </c>
      <c r="BZ241" s="16">
        <v>1000</v>
      </c>
      <c r="CA241" s="16">
        <v>1000</v>
      </c>
      <c r="CB241" s="16">
        <v>1000</v>
      </c>
    </row>
    <row r="242" spans="2:89" ht="39.6" hidden="1" x14ac:dyDescent="0.65">
      <c r="B242" s="31">
        <v>45816</v>
      </c>
      <c r="C242" s="40" t="s">
        <v>94</v>
      </c>
      <c r="D242" s="40">
        <f t="shared" si="28"/>
        <v>0</v>
      </c>
      <c r="E242" s="16">
        <v>5000</v>
      </c>
      <c r="F242" s="18">
        <f t="shared" si="34"/>
        <v>0</v>
      </c>
      <c r="G242" s="16">
        <f t="shared" si="33"/>
        <v>5000</v>
      </c>
      <c r="BN242" s="15"/>
      <c r="BO242" s="15"/>
      <c r="BP242" s="15"/>
      <c r="BQ242" s="15"/>
      <c r="BR242" s="16">
        <v>500</v>
      </c>
      <c r="BS242" s="16">
        <v>500</v>
      </c>
      <c r="BT242" s="16">
        <v>500</v>
      </c>
      <c r="BU242" s="16">
        <v>500</v>
      </c>
      <c r="BV242" s="16">
        <v>500</v>
      </c>
      <c r="BW242" s="16">
        <v>500</v>
      </c>
      <c r="BX242" s="16">
        <v>500</v>
      </c>
      <c r="BY242" s="16">
        <v>500</v>
      </c>
      <c r="BZ242" s="16">
        <v>1000</v>
      </c>
    </row>
    <row r="243" spans="2:89" ht="40.200000000000003" hidden="1" x14ac:dyDescent="0.7">
      <c r="B243" s="31">
        <v>45823</v>
      </c>
      <c r="C243" s="40" t="s">
        <v>95</v>
      </c>
      <c r="D243" s="40">
        <f t="shared" si="28"/>
        <v>0</v>
      </c>
      <c r="E243" s="61">
        <v>10000</v>
      </c>
      <c r="F243" s="18">
        <f t="shared" si="34"/>
        <v>0</v>
      </c>
      <c r="G243" s="16">
        <f t="shared" si="33"/>
        <v>10000</v>
      </c>
      <c r="BN243" s="15"/>
      <c r="BO243" s="15"/>
      <c r="BP243" s="15"/>
      <c r="BQ243" s="15"/>
      <c r="BR243" s="15"/>
      <c r="BS243" s="16">
        <v>0</v>
      </c>
      <c r="BT243" s="16">
        <v>0</v>
      </c>
      <c r="BU243" s="16">
        <v>2000</v>
      </c>
      <c r="BV243" s="16">
        <v>2000</v>
      </c>
      <c r="BW243" s="16">
        <v>0</v>
      </c>
      <c r="BX243" s="16">
        <v>0</v>
      </c>
      <c r="BY243" s="16">
        <v>0</v>
      </c>
      <c r="BZ243" s="16">
        <v>0</v>
      </c>
      <c r="CA243" s="16">
        <v>0</v>
      </c>
      <c r="CB243" s="16">
        <v>0</v>
      </c>
      <c r="CC243" s="16">
        <v>0</v>
      </c>
      <c r="CD243" s="16">
        <v>2000</v>
      </c>
      <c r="CE243" s="16">
        <v>0</v>
      </c>
      <c r="CF243" s="16">
        <v>0</v>
      </c>
      <c r="CG243" s="16">
        <v>4000</v>
      </c>
    </row>
    <row r="244" spans="2:89" ht="39.6" hidden="1" x14ac:dyDescent="0.65">
      <c r="B244" s="31">
        <v>45823</v>
      </c>
      <c r="C244" s="40" t="s">
        <v>5</v>
      </c>
      <c r="D244" s="40">
        <f t="shared" si="28"/>
        <v>0</v>
      </c>
      <c r="E244" s="16">
        <v>10000</v>
      </c>
      <c r="F244" s="18">
        <f t="shared" si="34"/>
        <v>0</v>
      </c>
      <c r="G244" s="16">
        <f t="shared" si="33"/>
        <v>10000</v>
      </c>
      <c r="BN244" s="15"/>
      <c r="BO244" s="15"/>
      <c r="BP244" s="15"/>
      <c r="BQ244" s="15"/>
      <c r="BR244" s="15"/>
      <c r="BS244" s="16">
        <v>1000</v>
      </c>
      <c r="BT244" s="16">
        <v>1000</v>
      </c>
      <c r="BU244" s="16">
        <v>1000</v>
      </c>
      <c r="BV244" s="16">
        <v>1000</v>
      </c>
      <c r="BW244" s="16">
        <v>1000</v>
      </c>
      <c r="BX244" s="16">
        <v>1000</v>
      </c>
      <c r="BY244" s="16">
        <v>1000</v>
      </c>
      <c r="BZ244" s="16">
        <v>1000</v>
      </c>
      <c r="CA244" s="16">
        <v>1000</v>
      </c>
      <c r="CB244" s="16">
        <v>1000</v>
      </c>
    </row>
    <row r="245" spans="2:89" ht="39.6" hidden="1" x14ac:dyDescent="0.65">
      <c r="B245" s="31">
        <v>45830</v>
      </c>
      <c r="C245" s="40" t="s">
        <v>84</v>
      </c>
      <c r="D245" s="40">
        <f t="shared" si="28"/>
        <v>0</v>
      </c>
      <c r="E245" s="16">
        <v>20000</v>
      </c>
      <c r="F245" s="18">
        <f t="shared" si="34"/>
        <v>0</v>
      </c>
      <c r="G245" s="16">
        <f t="shared" si="33"/>
        <v>20000</v>
      </c>
      <c r="BN245" s="15"/>
      <c r="BO245" s="15"/>
      <c r="BP245" s="15"/>
      <c r="BQ245" s="15"/>
      <c r="BR245" s="15"/>
      <c r="BS245" s="15"/>
      <c r="BT245" s="16">
        <v>2000</v>
      </c>
      <c r="BU245" s="16">
        <v>2000</v>
      </c>
      <c r="BV245" s="16">
        <v>2000</v>
      </c>
      <c r="BW245" s="16">
        <v>0</v>
      </c>
      <c r="BX245" s="16">
        <v>4000</v>
      </c>
      <c r="BY245" s="16">
        <v>2000</v>
      </c>
      <c r="BZ245" s="16">
        <v>2000</v>
      </c>
      <c r="CA245" s="16">
        <v>2000</v>
      </c>
      <c r="CB245" s="16">
        <v>4000</v>
      </c>
    </row>
    <row r="246" spans="2:89" ht="39.6" hidden="1" x14ac:dyDescent="0.65">
      <c r="B246" s="31">
        <v>45837</v>
      </c>
      <c r="C246" s="40" t="s">
        <v>67</v>
      </c>
      <c r="D246" s="40">
        <f t="shared" si="28"/>
        <v>0</v>
      </c>
      <c r="E246" s="16">
        <v>15000</v>
      </c>
      <c r="F246" s="18">
        <f t="shared" si="34"/>
        <v>0</v>
      </c>
      <c r="G246" s="16">
        <f t="shared" si="33"/>
        <v>15000</v>
      </c>
      <c r="BN246" s="15"/>
      <c r="BO246" s="15"/>
      <c r="BP246" s="15"/>
      <c r="BQ246" s="15"/>
      <c r="BR246" s="15"/>
      <c r="BS246" s="15"/>
      <c r="BT246" s="15"/>
      <c r="BU246" s="16">
        <v>1500</v>
      </c>
      <c r="BV246" s="16">
        <v>1500</v>
      </c>
      <c r="BW246" s="16">
        <v>1500</v>
      </c>
      <c r="BX246" s="16">
        <v>1500</v>
      </c>
      <c r="BY246" s="16">
        <v>1500</v>
      </c>
      <c r="BZ246" s="16">
        <v>1500</v>
      </c>
      <c r="CA246" s="16">
        <v>1500</v>
      </c>
      <c r="CB246" s="16">
        <v>1500</v>
      </c>
      <c r="CC246" s="16">
        <v>1500</v>
      </c>
      <c r="CD246" s="16">
        <v>1500</v>
      </c>
    </row>
    <row r="247" spans="2:89" ht="39.6" hidden="1" x14ac:dyDescent="0.65">
      <c r="B247" s="31">
        <v>45806</v>
      </c>
      <c r="C247" s="40" t="s">
        <v>96</v>
      </c>
      <c r="D247" s="40">
        <f t="shared" si="28"/>
        <v>0</v>
      </c>
      <c r="E247" s="16">
        <v>10000</v>
      </c>
      <c r="F247" s="18">
        <f t="shared" si="34"/>
        <v>0</v>
      </c>
      <c r="G247" s="16">
        <f t="shared" si="33"/>
        <v>10000</v>
      </c>
      <c r="BN247" s="15"/>
      <c r="BO247" s="15"/>
      <c r="BP247" s="15"/>
      <c r="BQ247" s="15"/>
      <c r="BR247" s="15"/>
      <c r="BS247" s="15"/>
      <c r="BT247" s="15"/>
      <c r="BU247" s="16">
        <v>1000</v>
      </c>
      <c r="BV247" s="16">
        <v>1000</v>
      </c>
      <c r="BW247" s="16">
        <v>1000</v>
      </c>
      <c r="BX247" s="16">
        <v>1000</v>
      </c>
      <c r="BY247" s="16">
        <v>1000</v>
      </c>
      <c r="BZ247" s="16">
        <v>0</v>
      </c>
      <c r="CA247" s="16">
        <v>1000</v>
      </c>
      <c r="CB247" s="16">
        <v>0</v>
      </c>
      <c r="CC247" s="16">
        <v>0</v>
      </c>
      <c r="CD247" s="16">
        <v>0</v>
      </c>
      <c r="CE247" s="16">
        <v>4000</v>
      </c>
    </row>
    <row r="248" spans="2:89" ht="39.6" hidden="1" x14ac:dyDescent="0.65">
      <c r="B248" s="16" t="s">
        <v>97</v>
      </c>
      <c r="C248" s="40" t="s">
        <v>98</v>
      </c>
      <c r="D248" s="40">
        <f t="shared" si="28"/>
        <v>0</v>
      </c>
      <c r="E248" s="16">
        <v>5000</v>
      </c>
      <c r="F248" s="18">
        <f t="shared" si="34"/>
        <v>0</v>
      </c>
      <c r="G248" s="16">
        <f t="shared" si="33"/>
        <v>5000</v>
      </c>
      <c r="BN248" s="15"/>
      <c r="BO248" s="15"/>
      <c r="BP248" s="15"/>
      <c r="BQ248" s="15"/>
      <c r="BR248" s="15"/>
      <c r="BS248" s="15"/>
      <c r="BT248" s="15"/>
      <c r="BU248" s="16">
        <v>500</v>
      </c>
      <c r="BV248" s="16">
        <v>0</v>
      </c>
      <c r="BW248" s="16">
        <v>0</v>
      </c>
      <c r="BX248" s="16">
        <v>0</v>
      </c>
      <c r="BY248" s="16">
        <v>4500</v>
      </c>
    </row>
    <row r="249" spans="2:89" ht="39.6" hidden="1" x14ac:dyDescent="0.65">
      <c r="B249" s="31">
        <v>45844</v>
      </c>
      <c r="C249" s="40" t="s">
        <v>99</v>
      </c>
      <c r="D249" s="40">
        <f t="shared" si="28"/>
        <v>0</v>
      </c>
      <c r="E249" s="16">
        <v>10000</v>
      </c>
      <c r="F249" s="18">
        <f t="shared" si="34"/>
        <v>0</v>
      </c>
      <c r="G249" s="16">
        <f t="shared" si="33"/>
        <v>10000</v>
      </c>
      <c r="BN249" s="15"/>
      <c r="BO249" s="15"/>
      <c r="BP249" s="15"/>
      <c r="BQ249" s="15"/>
      <c r="BR249" s="15"/>
      <c r="BS249" s="15"/>
      <c r="BT249" s="15"/>
      <c r="BU249" s="15"/>
      <c r="BV249" s="16">
        <v>1000</v>
      </c>
      <c r="BW249" s="16">
        <v>1000</v>
      </c>
      <c r="BX249" s="16">
        <v>1000</v>
      </c>
      <c r="BY249" s="16">
        <v>1000</v>
      </c>
      <c r="BZ249" s="16">
        <v>1000</v>
      </c>
      <c r="CA249" s="16">
        <v>1000</v>
      </c>
      <c r="CB249" s="16">
        <v>1000</v>
      </c>
      <c r="CC249" s="16">
        <v>1000</v>
      </c>
      <c r="CD249" s="16">
        <v>1000</v>
      </c>
      <c r="CE249" s="16">
        <v>1000</v>
      </c>
    </row>
    <row r="250" spans="2:89" ht="39.6" hidden="1" x14ac:dyDescent="0.65">
      <c r="B250" s="31">
        <v>45851</v>
      </c>
      <c r="C250" s="40" t="s">
        <v>62</v>
      </c>
      <c r="D250" s="40">
        <f t="shared" si="28"/>
        <v>0</v>
      </c>
      <c r="E250" s="16">
        <v>5000</v>
      </c>
      <c r="F250" s="18">
        <f t="shared" si="34"/>
        <v>0</v>
      </c>
      <c r="G250" s="16">
        <f t="shared" si="33"/>
        <v>5000</v>
      </c>
      <c r="BN250" s="15"/>
      <c r="BO250" s="15"/>
      <c r="BP250" s="15"/>
      <c r="BQ250" s="15"/>
      <c r="BR250" s="15"/>
      <c r="BS250" s="15"/>
      <c r="BT250" s="15"/>
      <c r="BU250" s="15"/>
      <c r="BV250" s="15"/>
      <c r="BW250" s="16">
        <v>500</v>
      </c>
      <c r="BX250" s="16">
        <v>500</v>
      </c>
      <c r="BY250" s="16">
        <v>500</v>
      </c>
      <c r="BZ250" s="16">
        <v>500</v>
      </c>
      <c r="CA250" s="16">
        <v>500</v>
      </c>
      <c r="CB250" s="16">
        <v>1500</v>
      </c>
      <c r="CC250" s="16">
        <v>1000</v>
      </c>
    </row>
    <row r="251" spans="2:89" ht="39.6" hidden="1" x14ac:dyDescent="0.65">
      <c r="B251" s="31">
        <v>45858</v>
      </c>
      <c r="C251" s="40" t="s">
        <v>6</v>
      </c>
      <c r="D251" s="40">
        <f t="shared" si="28"/>
        <v>0</v>
      </c>
      <c r="E251" s="16">
        <v>30000</v>
      </c>
      <c r="F251" s="18">
        <f t="shared" si="34"/>
        <v>0</v>
      </c>
      <c r="G251" s="16">
        <f t="shared" si="33"/>
        <v>30000</v>
      </c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6">
        <v>3000</v>
      </c>
      <c r="BY251" s="16">
        <v>3000</v>
      </c>
      <c r="BZ251" s="16">
        <v>0</v>
      </c>
      <c r="CA251" s="16">
        <v>3000</v>
      </c>
      <c r="CB251" s="16">
        <v>3000</v>
      </c>
      <c r="CC251" s="16">
        <v>3000</v>
      </c>
      <c r="CD251" s="16">
        <v>3000</v>
      </c>
      <c r="CE251" s="16">
        <v>3000</v>
      </c>
      <c r="CF251" s="16">
        <v>9000</v>
      </c>
    </row>
    <row r="252" spans="2:89" ht="39.6" hidden="1" x14ac:dyDescent="0.65">
      <c r="B252" s="31">
        <v>45858</v>
      </c>
      <c r="C252" s="40" t="s">
        <v>100</v>
      </c>
      <c r="D252" s="40">
        <f t="shared" si="28"/>
        <v>0</v>
      </c>
      <c r="E252" s="16">
        <v>7000</v>
      </c>
      <c r="F252" s="18">
        <f t="shared" si="34"/>
        <v>0</v>
      </c>
      <c r="G252" s="16">
        <f t="shared" si="33"/>
        <v>7000</v>
      </c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6">
        <v>700</v>
      </c>
      <c r="BY252" s="16">
        <v>700</v>
      </c>
      <c r="BZ252" s="16">
        <v>0</v>
      </c>
      <c r="CA252" s="16">
        <v>1400</v>
      </c>
      <c r="CB252" s="16">
        <v>0</v>
      </c>
      <c r="CC252" s="16">
        <v>700</v>
      </c>
      <c r="CD252" s="16">
        <v>0</v>
      </c>
      <c r="CE252" s="16">
        <v>1400</v>
      </c>
      <c r="CF252" s="16">
        <v>2100</v>
      </c>
    </row>
    <row r="253" spans="2:89" ht="39.6" hidden="1" x14ac:dyDescent="0.65">
      <c r="B253" s="31">
        <v>45865</v>
      </c>
      <c r="C253" s="40" t="s">
        <v>101</v>
      </c>
      <c r="D253" s="40">
        <f t="shared" si="28"/>
        <v>0</v>
      </c>
      <c r="E253" s="16">
        <v>10000</v>
      </c>
      <c r="F253" s="18">
        <f t="shared" si="34"/>
        <v>0</v>
      </c>
      <c r="G253" s="16">
        <f t="shared" si="33"/>
        <v>10000</v>
      </c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6">
        <v>1000</v>
      </c>
      <c r="BZ253" s="16">
        <v>1000</v>
      </c>
      <c r="CA253" s="16">
        <v>1000</v>
      </c>
      <c r="CB253" s="16">
        <v>0</v>
      </c>
      <c r="CC253" s="16">
        <v>1000</v>
      </c>
      <c r="CD253" s="16">
        <v>0</v>
      </c>
      <c r="CE253" s="16">
        <v>2000</v>
      </c>
      <c r="CF253" s="16">
        <v>4000</v>
      </c>
    </row>
    <row r="254" spans="2:89" ht="40.200000000000003" hidden="1" x14ac:dyDescent="0.7">
      <c r="B254" s="31">
        <v>45865</v>
      </c>
      <c r="C254" s="40" t="s">
        <v>102</v>
      </c>
      <c r="D254" s="40">
        <f t="shared" si="28"/>
        <v>0</v>
      </c>
      <c r="E254" s="61">
        <v>10000</v>
      </c>
      <c r="F254" s="18">
        <f t="shared" si="34"/>
        <v>0</v>
      </c>
      <c r="G254" s="16">
        <f t="shared" si="33"/>
        <v>10000</v>
      </c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6">
        <v>1000</v>
      </c>
      <c r="BZ254" s="16">
        <v>0</v>
      </c>
      <c r="CA254" s="16">
        <v>1000</v>
      </c>
      <c r="CB254" s="16">
        <v>1000</v>
      </c>
      <c r="CC254" s="16">
        <v>1000</v>
      </c>
      <c r="CD254" s="16">
        <v>1000</v>
      </c>
      <c r="CE254" s="16">
        <v>1000</v>
      </c>
      <c r="CF254" s="16">
        <v>1000</v>
      </c>
      <c r="CG254" s="16">
        <v>1000</v>
      </c>
      <c r="CH254" s="16">
        <v>0</v>
      </c>
      <c r="CI254" s="16">
        <v>1000</v>
      </c>
      <c r="CJ254" s="16">
        <v>0</v>
      </c>
      <c r="CK254" s="16">
        <v>1000</v>
      </c>
    </row>
    <row r="255" spans="2:89" ht="39.6" hidden="1" x14ac:dyDescent="0.65">
      <c r="B255" s="31">
        <v>45507</v>
      </c>
      <c r="C255" s="40" t="s">
        <v>103</v>
      </c>
      <c r="D255" s="40">
        <f t="shared" si="28"/>
        <v>0</v>
      </c>
      <c r="E255" s="16">
        <v>3000</v>
      </c>
      <c r="F255" s="18">
        <f t="shared" si="34"/>
        <v>0</v>
      </c>
      <c r="G255" s="16">
        <f t="shared" si="33"/>
        <v>3000</v>
      </c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6">
        <v>300</v>
      </c>
      <c r="CA255" s="16">
        <v>300</v>
      </c>
      <c r="CB255" s="16">
        <v>300</v>
      </c>
      <c r="CC255" s="16">
        <v>0</v>
      </c>
      <c r="CD255" s="16">
        <v>300</v>
      </c>
      <c r="CE255" s="16">
        <v>1800</v>
      </c>
    </row>
    <row r="256" spans="2:89" ht="39.6" hidden="1" x14ac:dyDescent="0.65">
      <c r="B256" s="31">
        <v>45872</v>
      </c>
      <c r="C256" s="40" t="s">
        <v>104</v>
      </c>
      <c r="D256" s="40">
        <f t="shared" si="28"/>
        <v>0</v>
      </c>
      <c r="E256" s="16">
        <v>5000</v>
      </c>
      <c r="F256" s="18">
        <f t="shared" si="34"/>
        <v>0</v>
      </c>
      <c r="G256" s="16">
        <f t="shared" si="33"/>
        <v>5000</v>
      </c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5000</v>
      </c>
    </row>
    <row r="257" spans="2:91" ht="40.200000000000003" x14ac:dyDescent="0.7">
      <c r="B257" s="31">
        <v>45879</v>
      </c>
      <c r="C257" s="40" t="s">
        <v>105</v>
      </c>
      <c r="D257" s="40">
        <f t="shared" si="28"/>
        <v>8</v>
      </c>
      <c r="E257" s="61">
        <v>10000</v>
      </c>
      <c r="F257" s="18">
        <f t="shared" si="34"/>
        <v>8000</v>
      </c>
      <c r="G257" s="16">
        <f>SUM(H257:CT257)</f>
        <v>2000</v>
      </c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6">
        <v>1000</v>
      </c>
      <c r="CB257" s="16">
        <v>0</v>
      </c>
      <c r="CC257" s="16">
        <v>0</v>
      </c>
      <c r="CD257" s="16">
        <v>0</v>
      </c>
      <c r="CE257" s="16">
        <v>0</v>
      </c>
      <c r="CF257" s="16">
        <v>0</v>
      </c>
      <c r="CG257" s="16">
        <v>0</v>
      </c>
      <c r="CH257" s="16">
        <v>0</v>
      </c>
      <c r="CI257" s="16">
        <v>0</v>
      </c>
      <c r="CJ257" s="16">
        <v>1000</v>
      </c>
      <c r="CK257" s="16">
        <v>0</v>
      </c>
      <c r="CL257" s="16">
        <v>0</v>
      </c>
      <c r="CM257" s="16">
        <v>0</v>
      </c>
    </row>
    <row r="258" spans="2:91" ht="40.200000000000003" hidden="1" x14ac:dyDescent="0.7">
      <c r="B258" s="31">
        <v>45879</v>
      </c>
      <c r="C258" s="40" t="s">
        <v>53</v>
      </c>
      <c r="D258" s="40">
        <f t="shared" si="28"/>
        <v>0</v>
      </c>
      <c r="E258" s="61">
        <v>30000</v>
      </c>
      <c r="F258" s="18">
        <f t="shared" si="34"/>
        <v>0</v>
      </c>
      <c r="G258" s="16">
        <f t="shared" si="33"/>
        <v>30000</v>
      </c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6">
        <v>0</v>
      </c>
      <c r="CB258" s="16">
        <v>3000</v>
      </c>
      <c r="CC258" s="16">
        <v>0</v>
      </c>
      <c r="CD258" s="16">
        <v>3000</v>
      </c>
      <c r="CE258" s="16">
        <v>3000</v>
      </c>
      <c r="CF258" s="16">
        <v>3000</v>
      </c>
      <c r="CG258" s="16">
        <v>3000</v>
      </c>
      <c r="CH258" s="16">
        <v>3000</v>
      </c>
      <c r="CI258" s="16">
        <v>12000</v>
      </c>
    </row>
    <row r="259" spans="2:91" ht="39.6" hidden="1" x14ac:dyDescent="0.65">
      <c r="B259" s="31">
        <v>45879</v>
      </c>
      <c r="C259" s="40" t="s">
        <v>106</v>
      </c>
      <c r="D259" s="40">
        <f t="shared" si="28"/>
        <v>0</v>
      </c>
      <c r="E259" s="16">
        <v>5000</v>
      </c>
      <c r="F259" s="18">
        <f t="shared" si="34"/>
        <v>0</v>
      </c>
      <c r="G259" s="16">
        <f t="shared" si="33"/>
        <v>5000</v>
      </c>
      <c r="BY259" s="15"/>
      <c r="BZ259" s="15"/>
      <c r="CA259" s="16">
        <v>500</v>
      </c>
      <c r="CB259" s="16">
        <v>500</v>
      </c>
      <c r="CC259" s="16">
        <v>500</v>
      </c>
      <c r="CD259" s="16">
        <v>3500</v>
      </c>
    </row>
    <row r="260" spans="2:91" ht="40.200000000000003" hidden="1" x14ac:dyDescent="0.7">
      <c r="B260" s="31">
        <v>45886</v>
      </c>
      <c r="C260" s="40" t="s">
        <v>107</v>
      </c>
      <c r="D260" s="40">
        <f t="shared" ref="D260:D276" si="35">F260/(E260*0.1)</f>
        <v>0</v>
      </c>
      <c r="E260" s="61">
        <v>5000</v>
      </c>
      <c r="F260" s="18">
        <f t="shared" si="34"/>
        <v>0</v>
      </c>
      <c r="G260" s="16">
        <f t="shared" si="33"/>
        <v>5000</v>
      </c>
      <c r="BY260" s="15"/>
      <c r="BZ260" s="15"/>
      <c r="CA260" s="15"/>
      <c r="CB260" s="16">
        <v>500</v>
      </c>
      <c r="CC260" s="16">
        <v>0</v>
      </c>
      <c r="CD260" s="16">
        <v>0</v>
      </c>
      <c r="CE260" s="16">
        <v>500</v>
      </c>
      <c r="CF260" s="16">
        <v>0</v>
      </c>
      <c r="CG260" s="16">
        <v>500</v>
      </c>
      <c r="CH260" s="16">
        <v>500</v>
      </c>
      <c r="CI260" s="16">
        <v>500</v>
      </c>
      <c r="CJ260" s="16">
        <v>2500</v>
      </c>
    </row>
    <row r="261" spans="2:91" ht="40.200000000000003" hidden="1" x14ac:dyDescent="0.7">
      <c r="B261" s="31">
        <v>45886</v>
      </c>
      <c r="C261" s="40" t="s">
        <v>29</v>
      </c>
      <c r="D261" s="40">
        <f t="shared" si="35"/>
        <v>0</v>
      </c>
      <c r="E261" s="61">
        <v>20000</v>
      </c>
      <c r="F261" s="18">
        <f t="shared" si="34"/>
        <v>0</v>
      </c>
      <c r="G261" s="16">
        <f t="shared" si="33"/>
        <v>20000</v>
      </c>
      <c r="BY261" s="15"/>
      <c r="BZ261" s="15"/>
      <c r="CA261" s="15"/>
      <c r="CB261" s="16">
        <v>0</v>
      </c>
      <c r="CC261" s="16">
        <v>4000</v>
      </c>
      <c r="CD261" s="16">
        <v>2000</v>
      </c>
      <c r="CE261" s="16">
        <v>2000</v>
      </c>
      <c r="CF261" s="16">
        <v>1000</v>
      </c>
      <c r="CG261" s="16">
        <v>3000</v>
      </c>
      <c r="CH261" s="16">
        <v>0</v>
      </c>
      <c r="CI261" s="16">
        <v>2000</v>
      </c>
      <c r="CJ261" s="16">
        <v>6000</v>
      </c>
    </row>
    <row r="262" spans="2:91" ht="40.200000000000003" hidden="1" x14ac:dyDescent="0.7">
      <c r="B262" s="31">
        <v>45893</v>
      </c>
      <c r="C262" s="40" t="s">
        <v>108</v>
      </c>
      <c r="D262" s="40">
        <f t="shared" si="35"/>
        <v>0</v>
      </c>
      <c r="E262" s="61">
        <v>5000</v>
      </c>
      <c r="F262" s="18">
        <f t="shared" si="34"/>
        <v>0</v>
      </c>
      <c r="G262" s="16">
        <f t="shared" si="33"/>
        <v>5000</v>
      </c>
      <c r="BY262" s="15"/>
      <c r="BZ262" s="15"/>
      <c r="CA262" s="15"/>
      <c r="CB262" s="15"/>
      <c r="CC262" s="16">
        <v>500</v>
      </c>
      <c r="CD262" s="16">
        <v>500</v>
      </c>
      <c r="CE262" s="16">
        <v>500</v>
      </c>
      <c r="CF262" s="16">
        <v>500</v>
      </c>
      <c r="CG262" s="16">
        <v>2500</v>
      </c>
      <c r="CH262" s="16">
        <v>500</v>
      </c>
    </row>
    <row r="263" spans="2:91" ht="40.200000000000003" hidden="1" x14ac:dyDescent="0.7">
      <c r="B263" s="31">
        <v>45893</v>
      </c>
      <c r="C263" s="40" t="s">
        <v>84</v>
      </c>
      <c r="D263" s="40">
        <f t="shared" si="35"/>
        <v>0</v>
      </c>
      <c r="E263" s="61">
        <v>20000</v>
      </c>
      <c r="F263" s="18">
        <f t="shared" si="34"/>
        <v>0</v>
      </c>
      <c r="G263" s="16">
        <f t="shared" si="33"/>
        <v>20000</v>
      </c>
      <c r="BY263" s="15"/>
      <c r="BZ263" s="15"/>
      <c r="CA263" s="15"/>
      <c r="CB263" s="15"/>
      <c r="CC263" s="16">
        <v>2000</v>
      </c>
      <c r="CD263" s="16">
        <v>2000</v>
      </c>
      <c r="CE263" s="16">
        <v>0</v>
      </c>
      <c r="CF263" s="16">
        <v>0</v>
      </c>
      <c r="CG263" s="16">
        <v>4000</v>
      </c>
      <c r="CH263" s="16">
        <v>2000</v>
      </c>
      <c r="CI263" s="16">
        <v>2000</v>
      </c>
      <c r="CJ263" s="16">
        <v>8000</v>
      </c>
    </row>
    <row r="264" spans="2:91" ht="40.200000000000003" hidden="1" x14ac:dyDescent="0.7">
      <c r="B264" s="31">
        <v>45893</v>
      </c>
      <c r="C264" s="40" t="s">
        <v>5</v>
      </c>
      <c r="D264" s="40">
        <f t="shared" si="35"/>
        <v>0</v>
      </c>
      <c r="E264" s="61">
        <v>5000</v>
      </c>
      <c r="F264" s="18">
        <f t="shared" si="34"/>
        <v>0</v>
      </c>
      <c r="G264" s="16">
        <f t="shared" si="33"/>
        <v>5000</v>
      </c>
      <c r="BY264" s="15"/>
      <c r="BZ264" s="15"/>
      <c r="CA264" s="15"/>
      <c r="CB264" s="15"/>
      <c r="CC264" s="16">
        <v>500</v>
      </c>
      <c r="CD264" s="16">
        <v>0</v>
      </c>
      <c r="CE264" s="16">
        <v>1000</v>
      </c>
      <c r="CF264" s="16">
        <v>500</v>
      </c>
      <c r="CG264" s="16">
        <v>500</v>
      </c>
      <c r="CH264" s="16">
        <v>500</v>
      </c>
      <c r="CI264" s="16">
        <v>500</v>
      </c>
      <c r="CJ264" s="16">
        <v>500</v>
      </c>
      <c r="CK264" s="16">
        <v>500</v>
      </c>
      <c r="CL264" s="16">
        <v>500</v>
      </c>
    </row>
    <row r="265" spans="2:91" ht="40.200000000000003" x14ac:dyDescent="0.7">
      <c r="B265" s="31">
        <v>45893</v>
      </c>
      <c r="C265" s="40" t="s">
        <v>36</v>
      </c>
      <c r="D265" s="40">
        <f t="shared" si="35"/>
        <v>1</v>
      </c>
      <c r="E265" s="61">
        <v>5000</v>
      </c>
      <c r="F265" s="18">
        <f t="shared" si="34"/>
        <v>500</v>
      </c>
      <c r="G265" s="16">
        <f t="shared" ref="G265:G268" si="36">SUM(H265:CT265)</f>
        <v>4500</v>
      </c>
      <c r="BY265" s="15"/>
      <c r="BZ265" s="15"/>
      <c r="CA265" s="15"/>
      <c r="CB265" s="15"/>
      <c r="CC265" s="16">
        <v>500</v>
      </c>
      <c r="CD265" s="16">
        <v>500</v>
      </c>
      <c r="CE265" s="16">
        <v>500</v>
      </c>
      <c r="CF265" s="16">
        <v>500</v>
      </c>
      <c r="CG265" s="16">
        <v>0</v>
      </c>
      <c r="CH265" s="16">
        <v>1000</v>
      </c>
      <c r="CI265" s="16">
        <v>0</v>
      </c>
      <c r="CJ265" s="16">
        <v>0</v>
      </c>
      <c r="CK265" s="16">
        <v>0</v>
      </c>
      <c r="CL265" s="16">
        <v>1500</v>
      </c>
      <c r="CM265" s="16">
        <v>0</v>
      </c>
    </row>
    <row r="266" spans="2:91" ht="40.200000000000003" x14ac:dyDescent="0.7">
      <c r="B266" s="31">
        <v>45900</v>
      </c>
      <c r="C266" s="40" t="s">
        <v>62</v>
      </c>
      <c r="D266" s="40">
        <f t="shared" si="35"/>
        <v>5</v>
      </c>
      <c r="E266" s="61">
        <v>5000</v>
      </c>
      <c r="F266" s="18">
        <f t="shared" si="34"/>
        <v>2500</v>
      </c>
      <c r="G266" s="16">
        <f t="shared" si="36"/>
        <v>2500</v>
      </c>
      <c r="BY266" s="15"/>
      <c r="BZ266" s="15"/>
      <c r="CA266" s="15"/>
      <c r="CB266" s="15"/>
      <c r="CC266" s="15"/>
      <c r="CD266" s="16">
        <v>1000</v>
      </c>
      <c r="CE266" s="16">
        <v>0</v>
      </c>
      <c r="CF266" s="16">
        <v>0</v>
      </c>
      <c r="CG266" s="16">
        <v>500</v>
      </c>
      <c r="CH266" s="16">
        <v>0</v>
      </c>
      <c r="CI266" s="16">
        <v>0</v>
      </c>
      <c r="CJ266" s="16">
        <v>0</v>
      </c>
      <c r="CK266" s="16">
        <v>0</v>
      </c>
      <c r="CL266" s="16">
        <v>1000</v>
      </c>
      <c r="CM266" s="16">
        <v>0</v>
      </c>
    </row>
    <row r="267" spans="2:91" ht="40.200000000000003" x14ac:dyDescent="0.7">
      <c r="B267" s="31">
        <v>45900</v>
      </c>
      <c r="C267" s="40" t="s">
        <v>109</v>
      </c>
      <c r="D267" s="40">
        <f t="shared" si="35"/>
        <v>10</v>
      </c>
      <c r="E267" s="61">
        <v>5000</v>
      </c>
      <c r="F267" s="18">
        <f t="shared" si="34"/>
        <v>5000</v>
      </c>
      <c r="G267" s="16">
        <f t="shared" si="36"/>
        <v>0</v>
      </c>
      <c r="BY267" s="15"/>
      <c r="BZ267" s="15"/>
      <c r="CA267" s="15"/>
      <c r="CB267" s="15"/>
      <c r="CC267" s="15"/>
      <c r="CD267" s="16">
        <v>0</v>
      </c>
      <c r="CE267" s="16">
        <v>0</v>
      </c>
      <c r="CF267" s="16">
        <v>0</v>
      </c>
      <c r="CG267" s="16">
        <v>0</v>
      </c>
      <c r="CH267" s="16">
        <v>0</v>
      </c>
      <c r="CI267" s="16">
        <v>0</v>
      </c>
      <c r="CJ267" s="16">
        <v>0</v>
      </c>
      <c r="CK267" s="16">
        <v>0</v>
      </c>
      <c r="CL267" s="16">
        <v>0</v>
      </c>
      <c r="CM267" s="16">
        <v>0</v>
      </c>
    </row>
    <row r="268" spans="2:91" ht="40.200000000000003" x14ac:dyDescent="0.7">
      <c r="B268" s="31">
        <v>45900</v>
      </c>
      <c r="C268" s="40" t="s">
        <v>110</v>
      </c>
      <c r="D268" s="40">
        <f t="shared" si="35"/>
        <v>5</v>
      </c>
      <c r="E268" s="61">
        <v>10000</v>
      </c>
      <c r="F268" s="18">
        <f t="shared" si="34"/>
        <v>5000</v>
      </c>
      <c r="G268" s="16">
        <f t="shared" si="36"/>
        <v>5000</v>
      </c>
      <c r="BY268" s="15"/>
      <c r="BZ268" s="15"/>
      <c r="CA268" s="15"/>
      <c r="CB268" s="15"/>
      <c r="CC268" s="15"/>
      <c r="CD268" s="16">
        <v>1000</v>
      </c>
      <c r="CE268" s="16">
        <v>1000</v>
      </c>
      <c r="CF268" s="16">
        <v>0</v>
      </c>
      <c r="CG268" s="16">
        <v>0</v>
      </c>
      <c r="CH268" s="16">
        <v>1000</v>
      </c>
      <c r="CI268" s="16">
        <v>1000</v>
      </c>
      <c r="CJ268" s="16">
        <v>0</v>
      </c>
      <c r="CK268" s="16">
        <v>1000</v>
      </c>
      <c r="CL268" s="16">
        <v>0</v>
      </c>
      <c r="CM268" s="16">
        <v>0</v>
      </c>
    </row>
    <row r="269" spans="2:91" ht="40.200000000000003" hidden="1" x14ac:dyDescent="0.7">
      <c r="B269" s="31">
        <v>45900</v>
      </c>
      <c r="C269" s="40" t="s">
        <v>111</v>
      </c>
      <c r="D269" s="40">
        <f t="shared" si="35"/>
        <v>0</v>
      </c>
      <c r="E269" s="61">
        <v>5000</v>
      </c>
      <c r="F269" s="18">
        <f t="shared" si="34"/>
        <v>0</v>
      </c>
      <c r="G269" s="16">
        <f t="shared" si="33"/>
        <v>5000</v>
      </c>
      <c r="BY269" s="15"/>
      <c r="BZ269" s="15"/>
      <c r="CA269" s="15"/>
      <c r="CB269" s="15"/>
      <c r="CC269" s="15"/>
      <c r="CD269" s="16">
        <v>500</v>
      </c>
      <c r="CE269" s="16">
        <v>500</v>
      </c>
      <c r="CF269" s="16">
        <v>500</v>
      </c>
      <c r="CG269" s="16">
        <v>500</v>
      </c>
      <c r="CH269" s="16">
        <v>500</v>
      </c>
      <c r="CI269" s="16">
        <v>2500</v>
      </c>
    </row>
    <row r="270" spans="2:91" ht="40.200000000000003" hidden="1" x14ac:dyDescent="0.7">
      <c r="B270" s="31">
        <v>45876</v>
      </c>
      <c r="C270" s="40" t="s">
        <v>112</v>
      </c>
      <c r="D270" s="40">
        <f t="shared" si="35"/>
        <v>0</v>
      </c>
      <c r="E270" s="61">
        <v>10000</v>
      </c>
      <c r="F270" s="18">
        <f t="shared" si="34"/>
        <v>0</v>
      </c>
      <c r="G270" s="16">
        <f t="shared" si="33"/>
        <v>10000</v>
      </c>
      <c r="BY270" s="15"/>
      <c r="BZ270" s="15"/>
      <c r="CA270" s="15"/>
      <c r="CB270" s="15"/>
      <c r="CC270" s="15"/>
      <c r="CD270" s="15"/>
      <c r="CE270" s="16">
        <v>1000</v>
      </c>
      <c r="CF270" s="16">
        <v>1000</v>
      </c>
      <c r="CG270" s="16">
        <v>0</v>
      </c>
      <c r="CH270" s="16">
        <v>1000</v>
      </c>
      <c r="CI270" s="16">
        <v>1000</v>
      </c>
      <c r="CJ270" s="16">
        <v>6000</v>
      </c>
    </row>
    <row r="271" spans="2:91" ht="40.200000000000003" x14ac:dyDescent="0.7">
      <c r="B271" s="31">
        <v>45876</v>
      </c>
      <c r="C271" s="40" t="s">
        <v>113</v>
      </c>
      <c r="D271" s="40">
        <f t="shared" si="35"/>
        <v>6</v>
      </c>
      <c r="E271" s="61">
        <v>20000</v>
      </c>
      <c r="F271" s="18">
        <f t="shared" si="34"/>
        <v>12000</v>
      </c>
      <c r="G271" s="16">
        <f t="shared" ref="G271:G277" si="37">SUM(H271:CT271)</f>
        <v>8000</v>
      </c>
      <c r="BY271" s="15"/>
      <c r="BZ271" s="15"/>
      <c r="CA271" s="15"/>
      <c r="CB271" s="15"/>
      <c r="CC271" s="15"/>
      <c r="CD271" s="15"/>
      <c r="CE271" s="16">
        <v>2000</v>
      </c>
      <c r="CF271" s="16">
        <v>0</v>
      </c>
      <c r="CG271" s="16">
        <v>0</v>
      </c>
      <c r="CH271" s="16">
        <v>0</v>
      </c>
      <c r="CI271" s="16">
        <v>0</v>
      </c>
      <c r="CJ271" s="16">
        <v>2000</v>
      </c>
      <c r="CK271" s="16">
        <v>0</v>
      </c>
      <c r="CL271" s="16">
        <v>2000</v>
      </c>
      <c r="CM271" s="16">
        <v>2000</v>
      </c>
    </row>
    <row r="272" spans="2:91" ht="40.200000000000003" x14ac:dyDescent="0.7">
      <c r="B272" s="31">
        <v>45883</v>
      </c>
      <c r="C272" s="40" t="s">
        <v>115</v>
      </c>
      <c r="D272" s="40">
        <f t="shared" si="35"/>
        <v>4</v>
      </c>
      <c r="E272" s="61">
        <v>5000</v>
      </c>
      <c r="F272" s="18">
        <f t="shared" si="34"/>
        <v>2000</v>
      </c>
      <c r="G272" s="16">
        <f t="shared" si="37"/>
        <v>3000</v>
      </c>
      <c r="BY272" s="15"/>
      <c r="BZ272" s="15"/>
      <c r="CA272" s="15"/>
      <c r="CB272" s="15"/>
      <c r="CC272" s="15"/>
      <c r="CD272" s="15"/>
      <c r="CE272" s="15"/>
      <c r="CF272" s="16">
        <v>500</v>
      </c>
      <c r="CG272" s="16">
        <v>500</v>
      </c>
      <c r="CH272" s="16">
        <v>500</v>
      </c>
      <c r="CI272" s="16">
        <v>500</v>
      </c>
      <c r="CJ272" s="16">
        <v>500</v>
      </c>
      <c r="CK272" s="16">
        <v>0</v>
      </c>
      <c r="CL272" s="16">
        <v>0</v>
      </c>
      <c r="CM272" s="16">
        <v>500</v>
      </c>
    </row>
    <row r="273" spans="2:91" ht="40.200000000000003" hidden="1" x14ac:dyDescent="0.7">
      <c r="B273" s="31">
        <v>45921</v>
      </c>
      <c r="C273" s="40" t="s">
        <v>6</v>
      </c>
      <c r="D273" s="40">
        <f t="shared" si="35"/>
        <v>0</v>
      </c>
      <c r="E273" s="61">
        <v>30000</v>
      </c>
      <c r="F273" s="18">
        <f t="shared" si="34"/>
        <v>0</v>
      </c>
      <c r="G273" s="16">
        <f t="shared" si="37"/>
        <v>30000</v>
      </c>
      <c r="BY273" s="15"/>
      <c r="BZ273" s="15"/>
      <c r="CA273" s="15"/>
      <c r="CB273" s="15"/>
      <c r="CC273" s="15"/>
      <c r="CD273" s="15"/>
      <c r="CE273" s="15"/>
      <c r="CF273" s="15"/>
      <c r="CG273" s="16">
        <v>3000</v>
      </c>
      <c r="CH273" s="16">
        <v>3000</v>
      </c>
      <c r="CI273" s="16">
        <v>3000</v>
      </c>
      <c r="CJ273" s="16">
        <v>3000</v>
      </c>
      <c r="CK273" s="16">
        <v>3000</v>
      </c>
      <c r="CL273" s="16">
        <v>3000</v>
      </c>
      <c r="CM273" s="16">
        <v>12000</v>
      </c>
    </row>
    <row r="274" spans="2:91" ht="40.200000000000003" x14ac:dyDescent="0.7">
      <c r="B274" s="31">
        <v>45921</v>
      </c>
      <c r="C274" s="40" t="s">
        <v>116</v>
      </c>
      <c r="D274" s="40">
        <f t="shared" si="35"/>
        <v>3</v>
      </c>
      <c r="E274" s="61">
        <v>20000</v>
      </c>
      <c r="F274" s="18">
        <f>E274-G274</f>
        <v>6000</v>
      </c>
      <c r="G274" s="16">
        <f t="shared" si="37"/>
        <v>14000</v>
      </c>
      <c r="BY274" s="15"/>
      <c r="BZ274" s="15"/>
      <c r="CA274" s="15"/>
      <c r="CB274" s="15"/>
      <c r="CC274" s="15"/>
      <c r="CD274" s="15"/>
      <c r="CE274" s="15"/>
      <c r="CF274" s="15"/>
      <c r="CG274" s="16">
        <v>2000</v>
      </c>
      <c r="CH274" s="16">
        <v>2000</v>
      </c>
      <c r="CI274" s="16">
        <v>2000</v>
      </c>
      <c r="CJ274" s="16">
        <v>2000</v>
      </c>
      <c r="CK274" s="16">
        <v>2000</v>
      </c>
      <c r="CL274" s="16">
        <v>2000</v>
      </c>
      <c r="CM274" s="16">
        <v>2000</v>
      </c>
    </row>
    <row r="275" spans="2:91" ht="40.200000000000003" x14ac:dyDescent="0.7">
      <c r="B275" s="31">
        <v>45921</v>
      </c>
      <c r="C275" s="40" t="s">
        <v>101</v>
      </c>
      <c r="D275" s="40">
        <f t="shared" si="35"/>
        <v>5</v>
      </c>
      <c r="E275" s="61">
        <v>10000</v>
      </c>
      <c r="F275" s="18">
        <f t="shared" si="34"/>
        <v>5000</v>
      </c>
      <c r="G275" s="16">
        <f t="shared" si="37"/>
        <v>5000</v>
      </c>
      <c r="BY275" s="15"/>
      <c r="BZ275" s="15"/>
      <c r="CA275" s="15"/>
      <c r="CB275" s="15"/>
      <c r="CC275" s="15"/>
      <c r="CD275" s="15"/>
      <c r="CE275" s="15"/>
      <c r="CF275" s="15"/>
      <c r="CG275" s="16">
        <v>1000</v>
      </c>
      <c r="CH275" s="16">
        <v>1000</v>
      </c>
      <c r="CI275" s="16">
        <v>1000</v>
      </c>
      <c r="CJ275" s="16">
        <v>0</v>
      </c>
      <c r="CK275" s="16">
        <v>1000</v>
      </c>
      <c r="CL275" s="16">
        <v>1000</v>
      </c>
      <c r="CM275" s="16">
        <v>0</v>
      </c>
    </row>
    <row r="276" spans="2:91" ht="40.200000000000003" x14ac:dyDescent="0.7">
      <c r="B276" s="31">
        <v>45921</v>
      </c>
      <c r="C276" s="40" t="s">
        <v>117</v>
      </c>
      <c r="D276" s="40">
        <f t="shared" si="35"/>
        <v>2</v>
      </c>
      <c r="E276" s="61">
        <v>10000</v>
      </c>
      <c r="F276" s="18">
        <f>E276-G276</f>
        <v>2000</v>
      </c>
      <c r="G276" s="16">
        <f t="shared" si="37"/>
        <v>8000</v>
      </c>
      <c r="BY276" s="15"/>
      <c r="BZ276" s="15"/>
      <c r="CA276" s="15"/>
      <c r="CB276" s="15"/>
      <c r="CC276" s="15"/>
      <c r="CD276" s="15"/>
      <c r="CE276" s="15"/>
      <c r="CF276" s="15"/>
      <c r="CG276" s="16">
        <v>1000</v>
      </c>
      <c r="CH276" s="16">
        <v>1000</v>
      </c>
      <c r="CI276" s="16">
        <v>1000</v>
      </c>
      <c r="CJ276" s="16">
        <v>1000</v>
      </c>
      <c r="CK276" s="16">
        <v>1000</v>
      </c>
      <c r="CL276" s="16">
        <v>1000</v>
      </c>
      <c r="CM276" s="16">
        <v>2000</v>
      </c>
    </row>
    <row r="277" spans="2:91" ht="40.200000000000003" x14ac:dyDescent="0.7">
      <c r="B277" s="31">
        <v>45921</v>
      </c>
      <c r="C277" s="40" t="s">
        <v>118</v>
      </c>
      <c r="D277" s="40">
        <f t="shared" ref="D277:D285" si="38">F277/(E277*0.1)</f>
        <v>9</v>
      </c>
      <c r="E277" s="61">
        <v>5000</v>
      </c>
      <c r="F277" s="18">
        <f t="shared" si="34"/>
        <v>4500</v>
      </c>
      <c r="G277" s="16">
        <f t="shared" si="37"/>
        <v>500</v>
      </c>
      <c r="BY277" s="15"/>
      <c r="BZ277" s="15"/>
      <c r="CA277" s="15"/>
      <c r="CB277" s="15"/>
      <c r="CC277" s="15"/>
      <c r="CD277" s="15"/>
      <c r="CE277" s="15"/>
      <c r="CF277" s="15"/>
      <c r="CG277" s="16">
        <v>0</v>
      </c>
      <c r="CH277" s="16">
        <v>0</v>
      </c>
      <c r="CI277" s="16">
        <v>0</v>
      </c>
      <c r="CJ277" s="16">
        <v>0</v>
      </c>
      <c r="CK277" s="16">
        <v>0</v>
      </c>
      <c r="CL277" s="16">
        <v>0</v>
      </c>
      <c r="CM277" s="16">
        <v>500</v>
      </c>
    </row>
    <row r="278" spans="2:91" ht="40.200000000000003" hidden="1" x14ac:dyDescent="0.7">
      <c r="D278" s="40" t="e">
        <f t="shared" si="38"/>
        <v>#DIV/0!</v>
      </c>
      <c r="F278" s="18">
        <f t="shared" si="34"/>
        <v>0</v>
      </c>
      <c r="G278" s="16">
        <f t="shared" si="33"/>
        <v>0</v>
      </c>
    </row>
    <row r="279" spans="2:91" ht="40.200000000000003" hidden="1" x14ac:dyDescent="0.7">
      <c r="D279" s="40" t="e">
        <f t="shared" si="38"/>
        <v>#DIV/0!</v>
      </c>
      <c r="F279" s="18">
        <f t="shared" si="34"/>
        <v>0</v>
      </c>
      <c r="G279" s="16">
        <f t="shared" si="33"/>
        <v>0</v>
      </c>
    </row>
    <row r="280" spans="2:91" ht="40.200000000000003" hidden="1" x14ac:dyDescent="0.7">
      <c r="D280" s="40" t="e">
        <f t="shared" si="38"/>
        <v>#DIV/0!</v>
      </c>
      <c r="F280" s="18">
        <f t="shared" si="34"/>
        <v>0</v>
      </c>
      <c r="G280" s="16">
        <f t="shared" si="33"/>
        <v>0</v>
      </c>
    </row>
    <row r="281" spans="2:91" ht="40.200000000000003" hidden="1" x14ac:dyDescent="0.7">
      <c r="D281" s="40" t="e">
        <f t="shared" si="38"/>
        <v>#DIV/0!</v>
      </c>
      <c r="F281" s="18">
        <f t="shared" si="34"/>
        <v>0</v>
      </c>
      <c r="G281" s="16">
        <f t="shared" si="33"/>
        <v>0</v>
      </c>
    </row>
    <row r="282" spans="2:91" ht="40.200000000000003" hidden="1" x14ac:dyDescent="0.7">
      <c r="D282" s="40" t="e">
        <f t="shared" si="38"/>
        <v>#DIV/0!</v>
      </c>
      <c r="F282" s="18">
        <f t="shared" si="34"/>
        <v>0</v>
      </c>
      <c r="G282" s="16">
        <f t="shared" si="33"/>
        <v>0</v>
      </c>
    </row>
    <row r="283" spans="2:91" ht="40.200000000000003" hidden="1" x14ac:dyDescent="0.7">
      <c r="D283" s="40" t="e">
        <f t="shared" si="38"/>
        <v>#DIV/0!</v>
      </c>
      <c r="F283" s="18">
        <f t="shared" si="34"/>
        <v>0</v>
      </c>
      <c r="G283" s="16">
        <f t="shared" si="33"/>
        <v>0</v>
      </c>
    </row>
    <row r="284" spans="2:91" ht="40.200000000000003" hidden="1" x14ac:dyDescent="0.7">
      <c r="D284" s="40" t="e">
        <f t="shared" si="38"/>
        <v>#DIV/0!</v>
      </c>
      <c r="F284" s="18">
        <f t="shared" si="34"/>
        <v>0</v>
      </c>
      <c r="G284" s="16">
        <f t="shared" si="33"/>
        <v>0</v>
      </c>
    </row>
    <row r="285" spans="2:91" ht="40.200000000000003" hidden="1" x14ac:dyDescent="0.7">
      <c r="D285" s="40" t="e">
        <f t="shared" si="38"/>
        <v>#DIV/0!</v>
      </c>
      <c r="F285" s="18">
        <f t="shared" si="34"/>
        <v>0</v>
      </c>
      <c r="G285" s="16">
        <f t="shared" si="33"/>
        <v>0</v>
      </c>
    </row>
    <row r="286" spans="2:91" ht="40.200000000000003" x14ac:dyDescent="0.7">
      <c r="B286" s="31">
        <v>45918</v>
      </c>
      <c r="C286" s="40" t="s">
        <v>79</v>
      </c>
      <c r="D286" s="40">
        <f>F286/(E286*0.1)</f>
        <v>4</v>
      </c>
      <c r="E286" s="61">
        <v>10000</v>
      </c>
      <c r="F286" s="18">
        <f>E286-G286</f>
        <v>4000</v>
      </c>
      <c r="G286" s="16">
        <f>SUM(H286:CT286)</f>
        <v>6000</v>
      </c>
      <c r="BY286" s="15"/>
      <c r="BZ286" s="15"/>
      <c r="CA286" s="15"/>
      <c r="CB286" s="15"/>
      <c r="CC286" s="15"/>
      <c r="CD286" s="15"/>
      <c r="CE286" s="15"/>
      <c r="CF286" s="15"/>
      <c r="CG286" s="15"/>
      <c r="CH286" s="16">
        <v>1000</v>
      </c>
      <c r="CI286" s="16">
        <v>1000</v>
      </c>
      <c r="CJ286" s="16">
        <v>1000</v>
      </c>
      <c r="CK286" s="16">
        <v>1000</v>
      </c>
      <c r="CL286" s="16">
        <v>1000</v>
      </c>
      <c r="CM286" s="16">
        <v>1000</v>
      </c>
    </row>
    <row r="287" spans="2:91" ht="40.200000000000003" hidden="1" x14ac:dyDescent="0.7">
      <c r="D287" s="40" t="e">
        <f>F287/(E287*0.1)</f>
        <v>#DIV/0!</v>
      </c>
      <c r="F287" s="18">
        <f>E287-G287</f>
        <v>0</v>
      </c>
      <c r="G287" s="16">
        <f t="shared" si="33"/>
        <v>0</v>
      </c>
    </row>
    <row r="288" spans="2:91" ht="40.200000000000003" hidden="1" x14ac:dyDescent="0.7">
      <c r="D288" s="40" t="e">
        <f>F288/(E288*0.1)</f>
        <v>#DIV/0!</v>
      </c>
      <c r="F288" s="18">
        <f>E288-G288</f>
        <v>0</v>
      </c>
      <c r="G288" s="16">
        <f t="shared" si="33"/>
        <v>0</v>
      </c>
    </row>
    <row r="289" spans="2:91" ht="40.200000000000003" hidden="1" x14ac:dyDescent="0.7">
      <c r="D289" s="40" t="e">
        <f>F289/(E289*0.1)</f>
        <v>#DIV/0!</v>
      </c>
      <c r="F289" s="18">
        <f>E289-G289</f>
        <v>0</v>
      </c>
      <c r="G289" s="16">
        <f t="shared" si="33"/>
        <v>0</v>
      </c>
    </row>
    <row r="290" spans="2:91" ht="40.200000000000003" hidden="1" x14ac:dyDescent="0.7">
      <c r="D290" s="40" t="e">
        <f>F290/(E290*0.1)</f>
        <v>#DIV/0!</v>
      </c>
      <c r="F290" s="18">
        <f>E290-G290</f>
        <v>0</v>
      </c>
      <c r="G290" s="16">
        <f t="shared" ref="G290" si="39">SUM(H290:CL290)</f>
        <v>0</v>
      </c>
    </row>
    <row r="291" spans="2:91" ht="40.200000000000003" x14ac:dyDescent="0.7">
      <c r="B291" s="31">
        <v>45942</v>
      </c>
      <c r="C291" s="40" t="s">
        <v>119</v>
      </c>
      <c r="D291" s="40">
        <f t="shared" ref="D291:D333" si="40">F291/(E291*0.1)</f>
        <v>7</v>
      </c>
      <c r="E291" s="61">
        <v>10000</v>
      </c>
      <c r="F291" s="18">
        <f t="shared" ref="F291:F320" si="41">E291-G291</f>
        <v>7000</v>
      </c>
      <c r="G291" s="16">
        <f t="shared" ref="G291:G293" si="42">SUM(H291:CT291)</f>
        <v>3000</v>
      </c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6">
        <v>1000</v>
      </c>
      <c r="CK291" s="16">
        <v>0</v>
      </c>
      <c r="CL291" s="16">
        <v>1000</v>
      </c>
      <c r="CM291" s="16">
        <v>1000</v>
      </c>
    </row>
    <row r="292" spans="2:91" ht="40.200000000000003" x14ac:dyDescent="0.7">
      <c r="B292" s="31">
        <v>45942</v>
      </c>
      <c r="C292" s="40" t="s">
        <v>111</v>
      </c>
      <c r="D292" s="40">
        <f t="shared" si="40"/>
        <v>6</v>
      </c>
      <c r="E292" s="61">
        <v>10000</v>
      </c>
      <c r="F292" s="18">
        <f t="shared" si="41"/>
        <v>6000</v>
      </c>
      <c r="G292" s="16">
        <f t="shared" si="42"/>
        <v>4000</v>
      </c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6">
        <v>1000</v>
      </c>
      <c r="CK292" s="16">
        <v>1000</v>
      </c>
      <c r="CL292" s="16">
        <v>1000</v>
      </c>
      <c r="CM292" s="16">
        <v>1000</v>
      </c>
    </row>
    <row r="293" spans="2:91" ht="40.200000000000003" x14ac:dyDescent="0.7">
      <c r="B293" s="31">
        <v>45942</v>
      </c>
      <c r="C293" s="40" t="s">
        <v>53</v>
      </c>
      <c r="D293" s="40">
        <f t="shared" si="40"/>
        <v>6</v>
      </c>
      <c r="E293" s="61">
        <v>30000</v>
      </c>
      <c r="F293" s="18">
        <f t="shared" si="41"/>
        <v>18000</v>
      </c>
      <c r="G293" s="16">
        <f t="shared" si="42"/>
        <v>12000</v>
      </c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6">
        <v>3000</v>
      </c>
      <c r="CK293" s="16">
        <v>3000</v>
      </c>
      <c r="CL293" s="16">
        <v>3000</v>
      </c>
      <c r="CM293" s="16">
        <v>3000</v>
      </c>
    </row>
    <row r="294" spans="2:91" ht="40.200000000000003" hidden="1" x14ac:dyDescent="0.7">
      <c r="D294" s="40" t="e">
        <f t="shared" si="40"/>
        <v>#DIV/0!</v>
      </c>
      <c r="F294" s="18">
        <f t="shared" si="41"/>
        <v>0</v>
      </c>
    </row>
    <row r="295" spans="2:91" ht="40.200000000000003" hidden="1" x14ac:dyDescent="0.7">
      <c r="D295" s="40" t="e">
        <f t="shared" si="40"/>
        <v>#DIV/0!</v>
      </c>
      <c r="F295" s="18">
        <f t="shared" si="41"/>
        <v>0</v>
      </c>
    </row>
    <row r="296" spans="2:91" ht="40.200000000000003" hidden="1" x14ac:dyDescent="0.7">
      <c r="D296" s="40" t="e">
        <f t="shared" si="40"/>
        <v>#DIV/0!</v>
      </c>
      <c r="F296" s="18">
        <f t="shared" si="41"/>
        <v>0</v>
      </c>
    </row>
    <row r="297" spans="2:91" ht="40.200000000000003" hidden="1" x14ac:dyDescent="0.7">
      <c r="D297" s="40" t="e">
        <f t="shared" si="40"/>
        <v>#DIV/0!</v>
      </c>
      <c r="F297" s="18">
        <f t="shared" si="41"/>
        <v>0</v>
      </c>
    </row>
    <row r="298" spans="2:91" ht="40.200000000000003" hidden="1" x14ac:dyDescent="0.7">
      <c r="D298" s="40" t="e">
        <f t="shared" si="40"/>
        <v>#DIV/0!</v>
      </c>
      <c r="F298" s="18">
        <f t="shared" si="41"/>
        <v>0</v>
      </c>
    </row>
    <row r="299" spans="2:91" ht="40.200000000000003" hidden="1" x14ac:dyDescent="0.7">
      <c r="D299" s="40" t="e">
        <f t="shared" si="40"/>
        <v>#DIV/0!</v>
      </c>
      <c r="F299" s="18">
        <f t="shared" si="41"/>
        <v>0</v>
      </c>
    </row>
    <row r="300" spans="2:91" ht="40.200000000000003" x14ac:dyDescent="0.7">
      <c r="B300" s="31">
        <v>45942</v>
      </c>
      <c r="C300" s="40" t="s">
        <v>120</v>
      </c>
      <c r="D300" s="40">
        <f t="shared" si="40"/>
        <v>7</v>
      </c>
      <c r="E300" s="61">
        <v>10000</v>
      </c>
      <c r="F300" s="18">
        <f t="shared" si="41"/>
        <v>7000</v>
      </c>
      <c r="G300" s="16">
        <f>SUM(H300:CT300)</f>
        <v>3000</v>
      </c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6">
        <v>1000</v>
      </c>
      <c r="CK300" s="16">
        <v>1000</v>
      </c>
      <c r="CL300" s="16">
        <v>1000</v>
      </c>
      <c r="CM300" s="16">
        <v>0</v>
      </c>
    </row>
    <row r="301" spans="2:91" ht="40.200000000000003" hidden="1" x14ac:dyDescent="0.7">
      <c r="D301" s="40" t="e">
        <f t="shared" si="40"/>
        <v>#DIV/0!</v>
      </c>
      <c r="F301" s="18">
        <f t="shared" si="41"/>
        <v>0</v>
      </c>
    </row>
    <row r="302" spans="2:91" ht="40.200000000000003" hidden="1" x14ac:dyDescent="0.7">
      <c r="D302" s="40" t="e">
        <f t="shared" si="40"/>
        <v>#DIV/0!</v>
      </c>
      <c r="F302" s="18">
        <f t="shared" si="41"/>
        <v>0</v>
      </c>
    </row>
    <row r="303" spans="2:91" ht="40.200000000000003" x14ac:dyDescent="0.7">
      <c r="B303" s="31">
        <v>45949</v>
      </c>
      <c r="C303" s="40" t="s">
        <v>107</v>
      </c>
      <c r="D303" s="40">
        <f t="shared" si="40"/>
        <v>8</v>
      </c>
      <c r="E303" s="61">
        <v>5000</v>
      </c>
      <c r="F303" s="18">
        <f t="shared" si="41"/>
        <v>4000</v>
      </c>
      <c r="G303" s="16">
        <f t="shared" ref="G303:G305" si="43">SUM(H303:CT303)</f>
        <v>1000</v>
      </c>
      <c r="CH303" s="15"/>
      <c r="CI303" s="15"/>
      <c r="CJ303" s="15"/>
      <c r="CK303" s="16">
        <v>500</v>
      </c>
      <c r="CL303" s="16">
        <v>500</v>
      </c>
      <c r="CM303" s="16">
        <v>0</v>
      </c>
    </row>
    <row r="304" spans="2:91" ht="40.200000000000003" x14ac:dyDescent="0.7">
      <c r="B304" s="31">
        <v>45949</v>
      </c>
      <c r="C304" s="40" t="s">
        <v>111</v>
      </c>
      <c r="D304" s="40">
        <f t="shared" si="40"/>
        <v>7</v>
      </c>
      <c r="E304" s="61">
        <v>5000</v>
      </c>
      <c r="F304" s="18">
        <f t="shared" si="41"/>
        <v>3500</v>
      </c>
      <c r="G304" s="16">
        <f t="shared" si="43"/>
        <v>1500</v>
      </c>
      <c r="CH304" s="15"/>
      <c r="CI304" s="15"/>
      <c r="CJ304" s="15"/>
      <c r="CK304" s="16">
        <v>0</v>
      </c>
      <c r="CL304" s="16">
        <v>1000</v>
      </c>
      <c r="CM304" s="16">
        <v>500</v>
      </c>
    </row>
    <row r="305" spans="2:91" ht="40.200000000000003" x14ac:dyDescent="0.7">
      <c r="B305" s="31">
        <v>45949</v>
      </c>
      <c r="C305" s="40" t="s">
        <v>29</v>
      </c>
      <c r="D305" s="40">
        <f t="shared" si="40"/>
        <v>7</v>
      </c>
      <c r="E305" s="61">
        <v>20000</v>
      </c>
      <c r="F305" s="18">
        <f t="shared" si="41"/>
        <v>14000</v>
      </c>
      <c r="G305" s="16">
        <f t="shared" si="43"/>
        <v>6000</v>
      </c>
      <c r="CH305" s="15"/>
      <c r="CI305" s="15"/>
      <c r="CJ305" s="15"/>
      <c r="CK305" s="16">
        <v>0</v>
      </c>
      <c r="CL305" s="16">
        <v>4000</v>
      </c>
      <c r="CM305" s="16">
        <v>2000</v>
      </c>
    </row>
    <row r="306" spans="2:91" ht="40.200000000000003" hidden="1" x14ac:dyDescent="0.7">
      <c r="C306" s="40"/>
      <c r="D306" s="40" t="e">
        <f t="shared" si="40"/>
        <v>#DIV/0!</v>
      </c>
      <c r="F306" s="18">
        <f t="shared" si="41"/>
        <v>0</v>
      </c>
      <c r="CH306" s="15"/>
      <c r="CI306" s="15"/>
      <c r="CJ306" s="15"/>
    </row>
    <row r="307" spans="2:91" ht="40.200000000000003" hidden="1" x14ac:dyDescent="0.7">
      <c r="C307" s="40"/>
      <c r="D307" s="40" t="e">
        <f t="shared" si="40"/>
        <v>#DIV/0!</v>
      </c>
      <c r="F307" s="18">
        <f t="shared" si="41"/>
        <v>0</v>
      </c>
      <c r="CH307" s="15"/>
      <c r="CI307" s="15"/>
      <c r="CJ307" s="15"/>
    </row>
    <row r="308" spans="2:91" ht="40.200000000000003" hidden="1" x14ac:dyDescent="0.7">
      <c r="C308" s="40"/>
      <c r="D308" s="40" t="e">
        <f t="shared" si="40"/>
        <v>#DIV/0!</v>
      </c>
      <c r="F308" s="18">
        <f t="shared" si="41"/>
        <v>0</v>
      </c>
      <c r="CH308" s="15"/>
      <c r="CI308" s="15"/>
      <c r="CJ308" s="15"/>
    </row>
    <row r="309" spans="2:91" ht="40.200000000000003" hidden="1" x14ac:dyDescent="0.7">
      <c r="C309" s="40"/>
      <c r="D309" s="40" t="e">
        <f t="shared" si="40"/>
        <v>#DIV/0!</v>
      </c>
      <c r="F309" s="18">
        <f t="shared" si="41"/>
        <v>0</v>
      </c>
      <c r="CH309" s="15"/>
      <c r="CI309" s="15"/>
      <c r="CJ309" s="15"/>
    </row>
    <row r="310" spans="2:91" ht="40.200000000000003" hidden="1" x14ac:dyDescent="0.7">
      <c r="D310" s="40" t="e">
        <f t="shared" si="40"/>
        <v>#DIV/0!</v>
      </c>
      <c r="F310" s="18">
        <f t="shared" si="41"/>
        <v>0</v>
      </c>
      <c r="CH310" s="15"/>
      <c r="CI310" s="15"/>
      <c r="CJ310" s="15"/>
    </row>
    <row r="311" spans="2:91" ht="40.200000000000003" hidden="1" x14ac:dyDescent="0.7">
      <c r="D311" s="40" t="e">
        <f t="shared" si="40"/>
        <v>#DIV/0!</v>
      </c>
      <c r="F311" s="18">
        <f t="shared" si="41"/>
        <v>0</v>
      </c>
      <c r="CH311" s="15"/>
      <c r="CI311" s="15"/>
      <c r="CJ311" s="15"/>
    </row>
    <row r="312" spans="2:91" ht="40.200000000000003" hidden="1" x14ac:dyDescent="0.7">
      <c r="D312" s="40" t="e">
        <f t="shared" si="40"/>
        <v>#DIV/0!</v>
      </c>
      <c r="F312" s="18">
        <f t="shared" si="41"/>
        <v>0</v>
      </c>
      <c r="CH312" s="15"/>
      <c r="CI312" s="15"/>
      <c r="CJ312" s="15"/>
    </row>
    <row r="313" spans="2:91" ht="40.200000000000003" hidden="1" x14ac:dyDescent="0.7">
      <c r="D313" s="40" t="e">
        <f t="shared" si="40"/>
        <v>#DIV/0!</v>
      </c>
      <c r="F313" s="18">
        <f t="shared" si="41"/>
        <v>0</v>
      </c>
      <c r="CH313" s="15"/>
      <c r="CI313" s="15"/>
      <c r="CJ313" s="15"/>
    </row>
    <row r="314" spans="2:91" ht="40.200000000000003" hidden="1" x14ac:dyDescent="0.7">
      <c r="D314" s="40" t="e">
        <f t="shared" si="40"/>
        <v>#DIV/0!</v>
      </c>
      <c r="F314" s="18">
        <f t="shared" si="41"/>
        <v>0</v>
      </c>
      <c r="CH314" s="15"/>
      <c r="CI314" s="15"/>
      <c r="CJ314" s="15"/>
    </row>
    <row r="315" spans="2:91" ht="40.200000000000003" hidden="1" x14ac:dyDescent="0.7">
      <c r="D315" s="40" t="e">
        <f t="shared" si="40"/>
        <v>#DIV/0!</v>
      </c>
      <c r="F315" s="18">
        <f t="shared" si="41"/>
        <v>0</v>
      </c>
      <c r="CH315" s="15"/>
      <c r="CI315" s="15"/>
      <c r="CJ315" s="15"/>
    </row>
    <row r="316" spans="2:91" ht="40.200000000000003" x14ac:dyDescent="0.7">
      <c r="B316" s="31">
        <v>45949</v>
      </c>
      <c r="C316" s="40" t="s">
        <v>121</v>
      </c>
      <c r="D316" s="40">
        <f t="shared" si="40"/>
        <v>8</v>
      </c>
      <c r="E316" s="61">
        <v>10000</v>
      </c>
      <c r="F316" s="18">
        <f t="shared" si="41"/>
        <v>8000</v>
      </c>
      <c r="G316" s="16">
        <f t="shared" ref="G316:G320" si="44">SUM(H316:CT316)</f>
        <v>2000</v>
      </c>
      <c r="CH316" s="15"/>
      <c r="CI316" s="15"/>
      <c r="CJ316" s="15"/>
      <c r="CK316" s="16">
        <v>0</v>
      </c>
      <c r="CL316" s="16">
        <v>1000</v>
      </c>
      <c r="CM316" s="16">
        <v>1000</v>
      </c>
    </row>
    <row r="317" spans="2:91" ht="40.200000000000003" x14ac:dyDescent="0.7">
      <c r="B317" s="31">
        <v>45949</v>
      </c>
      <c r="C317" s="40" t="s">
        <v>122</v>
      </c>
      <c r="D317" s="40">
        <f t="shared" si="40"/>
        <v>7</v>
      </c>
      <c r="E317" s="61">
        <v>25000</v>
      </c>
      <c r="F317" s="18">
        <f t="shared" si="41"/>
        <v>17500</v>
      </c>
      <c r="G317" s="16">
        <f t="shared" si="44"/>
        <v>7500</v>
      </c>
      <c r="CH317" s="15"/>
      <c r="CI317" s="15"/>
      <c r="CJ317" s="15"/>
      <c r="CK317" s="16">
        <v>2500</v>
      </c>
      <c r="CL317" s="16">
        <v>2500</v>
      </c>
      <c r="CM317" s="16">
        <v>2500</v>
      </c>
    </row>
    <row r="318" spans="2:91" ht="40.200000000000003" x14ac:dyDescent="0.7">
      <c r="B318" s="31">
        <v>45949</v>
      </c>
      <c r="C318" s="40" t="s">
        <v>84</v>
      </c>
      <c r="D318" s="40">
        <f t="shared" si="40"/>
        <v>8</v>
      </c>
      <c r="E318" s="61">
        <v>25000</v>
      </c>
      <c r="F318" s="18">
        <f t="shared" si="41"/>
        <v>20000</v>
      </c>
      <c r="G318" s="16">
        <f t="shared" si="44"/>
        <v>5000</v>
      </c>
      <c r="CH318" s="15"/>
      <c r="CI318" s="15"/>
      <c r="CJ318" s="15"/>
      <c r="CK318" s="16">
        <v>2500</v>
      </c>
      <c r="CL318" s="16">
        <v>2500</v>
      </c>
      <c r="CM318" s="16">
        <v>0</v>
      </c>
    </row>
    <row r="319" spans="2:91" ht="40.200000000000003" x14ac:dyDescent="0.7">
      <c r="B319" s="31">
        <v>45949</v>
      </c>
      <c r="C319" s="40" t="s">
        <v>44</v>
      </c>
      <c r="D319" s="40">
        <f t="shared" si="40"/>
        <v>7</v>
      </c>
      <c r="E319" s="61">
        <v>10000</v>
      </c>
      <c r="F319" s="18">
        <f t="shared" si="41"/>
        <v>7000</v>
      </c>
      <c r="G319" s="16">
        <f t="shared" si="44"/>
        <v>3000</v>
      </c>
      <c r="CH319" s="15"/>
      <c r="CI319" s="15"/>
      <c r="CJ319" s="15"/>
      <c r="CK319" s="16">
        <v>1000</v>
      </c>
      <c r="CL319" s="16">
        <v>0</v>
      </c>
      <c r="CM319" s="16">
        <v>2000</v>
      </c>
    </row>
    <row r="320" spans="2:91" ht="40.200000000000003" x14ac:dyDescent="0.7">
      <c r="B320" s="31">
        <v>45956</v>
      </c>
      <c r="C320" s="40" t="s">
        <v>123</v>
      </c>
      <c r="D320" s="40">
        <f t="shared" ref="D320:D332" si="45">F320/(E320*0.1)</f>
        <v>9</v>
      </c>
      <c r="E320" s="61">
        <v>10000</v>
      </c>
      <c r="F320" s="18">
        <f t="shared" si="41"/>
        <v>9000</v>
      </c>
      <c r="G320" s="16">
        <f t="shared" si="44"/>
        <v>1000</v>
      </c>
      <c r="CH320" s="15"/>
      <c r="CI320" s="15"/>
      <c r="CJ320" s="15"/>
      <c r="CK320" s="15"/>
      <c r="CM320" s="16">
        <v>1000</v>
      </c>
    </row>
    <row r="321" spans="2:91" ht="40.200000000000003" hidden="1" x14ac:dyDescent="0.7">
      <c r="C321" s="40"/>
      <c r="D321" s="40" t="e">
        <f t="shared" si="45"/>
        <v>#DIV/0!</v>
      </c>
      <c r="F321" s="18">
        <f t="shared" ref="F321:F332" si="46">E321-G321</f>
        <v>0</v>
      </c>
      <c r="G321" s="16">
        <f t="shared" ref="G321:G332" si="47">SUM(H321:CL321)</f>
        <v>0</v>
      </c>
      <c r="CH321" s="15"/>
      <c r="CI321" s="15"/>
      <c r="CJ321" s="15"/>
      <c r="CK321" s="15"/>
      <c r="CL321" s="15"/>
    </row>
    <row r="322" spans="2:91" ht="40.200000000000003" hidden="1" x14ac:dyDescent="0.7">
      <c r="C322" s="40"/>
      <c r="D322" s="40" t="e">
        <f t="shared" si="45"/>
        <v>#DIV/0!</v>
      </c>
      <c r="F322" s="18">
        <f t="shared" si="46"/>
        <v>0</v>
      </c>
      <c r="G322" s="16">
        <f t="shared" si="47"/>
        <v>0</v>
      </c>
      <c r="CH322" s="15"/>
      <c r="CI322" s="15"/>
      <c r="CJ322" s="15"/>
      <c r="CK322" s="15"/>
      <c r="CL322" s="15"/>
    </row>
    <row r="323" spans="2:91" ht="40.200000000000003" hidden="1" x14ac:dyDescent="0.7">
      <c r="C323" s="40"/>
      <c r="D323" s="40" t="e">
        <f t="shared" si="45"/>
        <v>#DIV/0!</v>
      </c>
      <c r="F323" s="18">
        <f t="shared" si="46"/>
        <v>0</v>
      </c>
      <c r="G323" s="16">
        <f t="shared" si="47"/>
        <v>0</v>
      </c>
    </row>
    <row r="324" spans="2:91" ht="40.200000000000003" hidden="1" x14ac:dyDescent="0.7">
      <c r="C324" s="40"/>
      <c r="D324" s="40" t="e">
        <f t="shared" si="45"/>
        <v>#DIV/0!</v>
      </c>
      <c r="F324" s="18">
        <f t="shared" si="46"/>
        <v>0</v>
      </c>
      <c r="G324" s="16">
        <f t="shared" si="47"/>
        <v>0</v>
      </c>
    </row>
    <row r="325" spans="2:91" ht="40.200000000000003" hidden="1" x14ac:dyDescent="0.7">
      <c r="C325" s="40"/>
      <c r="D325" s="40" t="e">
        <f t="shared" si="45"/>
        <v>#DIV/0!</v>
      </c>
      <c r="F325" s="18">
        <f t="shared" si="46"/>
        <v>0</v>
      </c>
      <c r="G325" s="16">
        <f t="shared" si="47"/>
        <v>0</v>
      </c>
    </row>
    <row r="326" spans="2:91" ht="40.200000000000003" hidden="1" x14ac:dyDescent="0.7">
      <c r="C326" s="40"/>
      <c r="D326" s="40" t="e">
        <f t="shared" si="45"/>
        <v>#DIV/0!</v>
      </c>
      <c r="F326" s="18">
        <f t="shared" si="46"/>
        <v>0</v>
      </c>
      <c r="G326" s="16">
        <f t="shared" si="47"/>
        <v>0</v>
      </c>
    </row>
    <row r="327" spans="2:91" ht="40.200000000000003" hidden="1" x14ac:dyDescent="0.7">
      <c r="C327" s="40"/>
      <c r="D327" s="40" t="e">
        <f t="shared" si="45"/>
        <v>#DIV/0!</v>
      </c>
      <c r="F327" s="18">
        <f t="shared" si="46"/>
        <v>0</v>
      </c>
      <c r="G327" s="16">
        <f t="shared" si="47"/>
        <v>0</v>
      </c>
    </row>
    <row r="328" spans="2:91" ht="40.200000000000003" hidden="1" x14ac:dyDescent="0.7">
      <c r="C328" s="40"/>
      <c r="D328" s="40" t="e">
        <f t="shared" si="45"/>
        <v>#DIV/0!</v>
      </c>
      <c r="F328" s="18">
        <f t="shared" si="46"/>
        <v>0</v>
      </c>
      <c r="G328" s="16">
        <f t="shared" si="47"/>
        <v>0</v>
      </c>
    </row>
    <row r="329" spans="2:91" ht="40.200000000000003" hidden="1" x14ac:dyDescent="0.7">
      <c r="C329" s="40"/>
      <c r="D329" s="40" t="e">
        <f t="shared" si="45"/>
        <v>#DIV/0!</v>
      </c>
      <c r="F329" s="18">
        <f t="shared" si="46"/>
        <v>0</v>
      </c>
      <c r="G329" s="16">
        <f t="shared" si="47"/>
        <v>0</v>
      </c>
    </row>
    <row r="330" spans="2:91" ht="40.200000000000003" hidden="1" x14ac:dyDescent="0.7">
      <c r="C330" s="40"/>
      <c r="D330" s="40" t="e">
        <f t="shared" si="45"/>
        <v>#DIV/0!</v>
      </c>
      <c r="F330" s="18">
        <f t="shared" si="46"/>
        <v>0</v>
      </c>
      <c r="G330" s="16">
        <f t="shared" si="47"/>
        <v>0</v>
      </c>
    </row>
    <row r="331" spans="2:91" ht="40.200000000000003" hidden="1" x14ac:dyDescent="0.7">
      <c r="C331" s="40"/>
      <c r="D331" s="40" t="e">
        <f t="shared" si="45"/>
        <v>#DIV/0!</v>
      </c>
      <c r="F331" s="18">
        <f t="shared" si="46"/>
        <v>0</v>
      </c>
      <c r="G331" s="16">
        <f t="shared" si="47"/>
        <v>0</v>
      </c>
    </row>
    <row r="332" spans="2:91" ht="40.200000000000003" hidden="1" x14ac:dyDescent="0.7">
      <c r="C332" s="40"/>
      <c r="D332" s="40" t="e">
        <f t="shared" si="45"/>
        <v>#DIV/0!</v>
      </c>
      <c r="F332" s="18">
        <f t="shared" si="46"/>
        <v>0</v>
      </c>
      <c r="G332" s="16">
        <f t="shared" si="47"/>
        <v>0</v>
      </c>
    </row>
    <row r="333" spans="2:91" ht="40.200000000000003" x14ac:dyDescent="0.7">
      <c r="B333" s="31">
        <v>42310</v>
      </c>
      <c r="C333" s="40" t="s">
        <v>124</v>
      </c>
      <c r="D333" s="40">
        <f t="shared" si="40"/>
        <v>10</v>
      </c>
      <c r="E333" s="61">
        <v>5000</v>
      </c>
      <c r="F333" s="18">
        <f t="shared" ref="F333:F360" si="48">E333-G333</f>
        <v>5000</v>
      </c>
      <c r="G333" s="16">
        <f t="shared" ref="G333:G334" si="49">SUM(H333:CT333)</f>
        <v>0</v>
      </c>
      <c r="CH333" s="15"/>
      <c r="CI333" s="15"/>
      <c r="CJ333" s="15"/>
      <c r="CK333" s="15"/>
      <c r="CL333" s="15"/>
      <c r="CM333" s="16">
        <v>0</v>
      </c>
    </row>
    <row r="334" spans="2:91" ht="40.200000000000003" x14ac:dyDescent="0.7">
      <c r="B334" s="31">
        <v>42310</v>
      </c>
      <c r="C334" s="40" t="s">
        <v>102</v>
      </c>
      <c r="D334" s="40">
        <f>F334/(E334*0.1)</f>
        <v>9</v>
      </c>
      <c r="E334" s="61">
        <v>10000</v>
      </c>
      <c r="F334" s="18">
        <f t="shared" si="48"/>
        <v>9000</v>
      </c>
      <c r="G334" s="16">
        <f t="shared" si="49"/>
        <v>1000</v>
      </c>
      <c r="CH334" s="15"/>
      <c r="CI334" s="15"/>
      <c r="CJ334" s="15"/>
      <c r="CK334" s="15"/>
      <c r="CL334" s="15"/>
      <c r="CM334" s="16">
        <v>1000</v>
      </c>
    </row>
    <row r="335" spans="2:91" hidden="1" x14ac:dyDescent="0.7">
      <c r="F335" s="18">
        <f t="shared" si="48"/>
        <v>0</v>
      </c>
    </row>
    <row r="336" spans="2:91" hidden="1" x14ac:dyDescent="0.7">
      <c r="F336" s="18">
        <f t="shared" si="48"/>
        <v>0</v>
      </c>
    </row>
    <row r="337" spans="2:91" ht="40.200000000000003" x14ac:dyDescent="0.7">
      <c r="B337" s="31">
        <v>45970</v>
      </c>
      <c r="C337" s="12" t="s">
        <v>125</v>
      </c>
      <c r="D337" s="40">
        <f t="shared" ref="D337:D357" si="50">F337/(E337*0.1)</f>
        <v>10</v>
      </c>
      <c r="E337" s="61">
        <v>30000</v>
      </c>
      <c r="F337" s="18">
        <f t="shared" si="48"/>
        <v>30000</v>
      </c>
      <c r="G337" s="16">
        <f t="shared" ref="G337:G361" si="51">SUM(H337:CT337)</f>
        <v>0</v>
      </c>
      <c r="CH337" s="15"/>
      <c r="CI337" s="15"/>
      <c r="CJ337" s="15"/>
      <c r="CK337" s="15"/>
      <c r="CL337" s="15"/>
      <c r="CM337" s="15">
        <v>0</v>
      </c>
    </row>
    <row r="338" spans="2:91" ht="40.200000000000003" x14ac:dyDescent="0.7">
      <c r="B338" s="31">
        <v>45970</v>
      </c>
      <c r="C338" s="12" t="s">
        <v>126</v>
      </c>
      <c r="D338" s="40">
        <f t="shared" si="50"/>
        <v>10</v>
      </c>
      <c r="E338" s="61">
        <v>10000</v>
      </c>
      <c r="F338" s="18">
        <f t="shared" si="48"/>
        <v>10000</v>
      </c>
      <c r="G338" s="16">
        <f t="shared" si="51"/>
        <v>0</v>
      </c>
      <c r="CH338" s="15"/>
      <c r="CI338" s="15"/>
      <c r="CJ338" s="15"/>
      <c r="CK338" s="15"/>
      <c r="CL338" s="15"/>
      <c r="CM338" s="15">
        <v>0</v>
      </c>
    </row>
    <row r="339" spans="2:91" ht="40.200000000000003" hidden="1" x14ac:dyDescent="0.7">
      <c r="D339" s="40" t="e">
        <f t="shared" si="50"/>
        <v>#DIV/0!</v>
      </c>
      <c r="F339" s="18">
        <f t="shared" si="48"/>
        <v>0</v>
      </c>
      <c r="G339" s="16">
        <f t="shared" si="51"/>
        <v>0</v>
      </c>
    </row>
    <row r="340" spans="2:91" ht="40.200000000000003" hidden="1" x14ac:dyDescent="0.7">
      <c r="D340" s="40" t="e">
        <f t="shared" si="50"/>
        <v>#DIV/0!</v>
      </c>
      <c r="F340" s="18">
        <f t="shared" si="48"/>
        <v>0</v>
      </c>
      <c r="G340" s="16">
        <f t="shared" si="51"/>
        <v>0</v>
      </c>
    </row>
    <row r="341" spans="2:91" ht="40.200000000000003" hidden="1" x14ac:dyDescent="0.7">
      <c r="D341" s="40" t="e">
        <f t="shared" si="50"/>
        <v>#DIV/0!</v>
      </c>
      <c r="F341" s="18">
        <f t="shared" si="48"/>
        <v>0</v>
      </c>
      <c r="G341" s="16">
        <f t="shared" si="51"/>
        <v>0</v>
      </c>
    </row>
    <row r="342" spans="2:91" ht="40.200000000000003" hidden="1" x14ac:dyDescent="0.7">
      <c r="D342" s="40" t="e">
        <f t="shared" si="50"/>
        <v>#DIV/0!</v>
      </c>
      <c r="F342" s="18">
        <f t="shared" si="48"/>
        <v>0</v>
      </c>
      <c r="G342" s="16">
        <f t="shared" si="51"/>
        <v>0</v>
      </c>
    </row>
    <row r="343" spans="2:91" ht="40.200000000000003" hidden="1" x14ac:dyDescent="0.7">
      <c r="D343" s="40" t="e">
        <f t="shared" si="50"/>
        <v>#DIV/0!</v>
      </c>
      <c r="F343" s="18">
        <f t="shared" si="48"/>
        <v>0</v>
      </c>
      <c r="G343" s="16">
        <f t="shared" si="51"/>
        <v>0</v>
      </c>
    </row>
    <row r="344" spans="2:91" ht="40.200000000000003" hidden="1" x14ac:dyDescent="0.7">
      <c r="D344" s="40" t="e">
        <f t="shared" si="50"/>
        <v>#DIV/0!</v>
      </c>
      <c r="F344" s="18">
        <f t="shared" si="48"/>
        <v>0</v>
      </c>
      <c r="G344" s="16">
        <f t="shared" si="51"/>
        <v>0</v>
      </c>
    </row>
    <row r="345" spans="2:91" ht="40.200000000000003" hidden="1" x14ac:dyDescent="0.7">
      <c r="D345" s="40" t="e">
        <f t="shared" si="50"/>
        <v>#DIV/0!</v>
      </c>
      <c r="F345" s="18">
        <f t="shared" si="48"/>
        <v>0</v>
      </c>
      <c r="G345" s="16">
        <f t="shared" si="51"/>
        <v>0</v>
      </c>
    </row>
    <row r="346" spans="2:91" ht="40.200000000000003" hidden="1" x14ac:dyDescent="0.7">
      <c r="D346" s="40" t="e">
        <f t="shared" si="50"/>
        <v>#DIV/0!</v>
      </c>
      <c r="F346" s="18">
        <f t="shared" si="48"/>
        <v>0</v>
      </c>
      <c r="G346" s="16">
        <f t="shared" si="51"/>
        <v>0</v>
      </c>
    </row>
    <row r="347" spans="2:91" ht="40.200000000000003" hidden="1" x14ac:dyDescent="0.7">
      <c r="D347" s="40" t="e">
        <f t="shared" si="50"/>
        <v>#DIV/0!</v>
      </c>
      <c r="F347" s="18">
        <f t="shared" si="48"/>
        <v>0</v>
      </c>
      <c r="G347" s="16">
        <f t="shared" si="51"/>
        <v>0</v>
      </c>
    </row>
    <row r="348" spans="2:91" ht="40.200000000000003" hidden="1" x14ac:dyDescent="0.7">
      <c r="D348" s="40" t="e">
        <f t="shared" si="50"/>
        <v>#DIV/0!</v>
      </c>
      <c r="F348" s="18">
        <f t="shared" si="48"/>
        <v>0</v>
      </c>
      <c r="G348" s="16">
        <f t="shared" si="51"/>
        <v>0</v>
      </c>
    </row>
    <row r="349" spans="2:91" ht="40.200000000000003" hidden="1" x14ac:dyDescent="0.7">
      <c r="D349" s="40" t="e">
        <f t="shared" si="50"/>
        <v>#DIV/0!</v>
      </c>
      <c r="F349" s="18">
        <f t="shared" si="48"/>
        <v>0</v>
      </c>
      <c r="G349" s="16">
        <f t="shared" si="51"/>
        <v>0</v>
      </c>
    </row>
    <row r="350" spans="2:91" ht="40.200000000000003" hidden="1" x14ac:dyDescent="0.7">
      <c r="D350" s="40" t="e">
        <f t="shared" si="50"/>
        <v>#DIV/0!</v>
      </c>
      <c r="F350" s="18">
        <f t="shared" si="48"/>
        <v>0</v>
      </c>
      <c r="G350" s="16">
        <f t="shared" si="51"/>
        <v>0</v>
      </c>
    </row>
    <row r="351" spans="2:91" ht="40.200000000000003" hidden="1" x14ac:dyDescent="0.7">
      <c r="D351" s="40" t="e">
        <f t="shared" si="50"/>
        <v>#DIV/0!</v>
      </c>
      <c r="F351" s="18">
        <f t="shared" si="48"/>
        <v>0</v>
      </c>
      <c r="G351" s="16">
        <f t="shared" si="51"/>
        <v>0</v>
      </c>
    </row>
    <row r="352" spans="2:91" ht="40.200000000000003" hidden="1" x14ac:dyDescent="0.7">
      <c r="D352" s="40" t="e">
        <f t="shared" si="50"/>
        <v>#DIV/0!</v>
      </c>
      <c r="F352" s="18">
        <f t="shared" si="48"/>
        <v>0</v>
      </c>
      <c r="G352" s="16">
        <f t="shared" si="51"/>
        <v>0</v>
      </c>
    </row>
    <row r="353" spans="4:7" ht="40.200000000000003" hidden="1" x14ac:dyDescent="0.7">
      <c r="D353" s="40" t="e">
        <f t="shared" si="50"/>
        <v>#DIV/0!</v>
      </c>
      <c r="F353" s="18">
        <f t="shared" si="48"/>
        <v>0</v>
      </c>
      <c r="G353" s="16">
        <f t="shared" si="51"/>
        <v>0</v>
      </c>
    </row>
    <row r="354" spans="4:7" ht="40.200000000000003" hidden="1" x14ac:dyDescent="0.7">
      <c r="D354" s="40" t="e">
        <f t="shared" si="50"/>
        <v>#DIV/0!</v>
      </c>
      <c r="F354" s="18">
        <f t="shared" si="48"/>
        <v>0</v>
      </c>
      <c r="G354" s="16">
        <f t="shared" si="51"/>
        <v>0</v>
      </c>
    </row>
    <row r="355" spans="4:7" ht="40.200000000000003" hidden="1" x14ac:dyDescent="0.7">
      <c r="D355" s="40" t="e">
        <f t="shared" si="50"/>
        <v>#DIV/0!</v>
      </c>
      <c r="F355" s="18">
        <f t="shared" si="48"/>
        <v>0</v>
      </c>
      <c r="G355" s="16">
        <f t="shared" si="51"/>
        <v>0</v>
      </c>
    </row>
    <row r="356" spans="4:7" ht="40.200000000000003" hidden="1" x14ac:dyDescent="0.7">
      <c r="D356" s="40" t="e">
        <f t="shared" si="50"/>
        <v>#DIV/0!</v>
      </c>
      <c r="F356" s="18">
        <f t="shared" si="48"/>
        <v>0</v>
      </c>
      <c r="G356" s="16">
        <f t="shared" si="51"/>
        <v>0</v>
      </c>
    </row>
    <row r="357" spans="4:7" ht="40.200000000000003" hidden="1" x14ac:dyDescent="0.7">
      <c r="D357" s="40" t="e">
        <f t="shared" si="50"/>
        <v>#DIV/0!</v>
      </c>
      <c r="F357" s="18">
        <f t="shared" si="48"/>
        <v>0</v>
      </c>
      <c r="G357" s="16">
        <f t="shared" si="51"/>
        <v>0</v>
      </c>
    </row>
    <row r="358" spans="4:7" hidden="1" x14ac:dyDescent="0.7">
      <c r="F358" s="18">
        <f t="shared" si="48"/>
        <v>0</v>
      </c>
      <c r="G358" s="16">
        <f t="shared" si="51"/>
        <v>0</v>
      </c>
    </row>
    <row r="359" spans="4:7" hidden="1" x14ac:dyDescent="0.7">
      <c r="F359" s="18">
        <f t="shared" si="48"/>
        <v>0</v>
      </c>
      <c r="G359" s="16">
        <f t="shared" si="51"/>
        <v>0</v>
      </c>
    </row>
    <row r="360" spans="4:7" hidden="1" x14ac:dyDescent="0.7">
      <c r="F360" s="18">
        <f t="shared" si="48"/>
        <v>0</v>
      </c>
      <c r="G360" s="16">
        <f t="shared" si="51"/>
        <v>0</v>
      </c>
    </row>
    <row r="361" spans="4:7" x14ac:dyDescent="0.7">
      <c r="G361" s="16">
        <f t="shared" si="51"/>
        <v>0</v>
      </c>
    </row>
  </sheetData>
  <autoFilter ref="F1:F361" xr:uid="{7C25FE31-3F61-42B3-838D-62D78ABF5BFA}">
    <filterColumn colId="0">
      <filters blank="1">
        <filter val="10000"/>
        <filter val="12000"/>
        <filter val="14000"/>
        <filter val="17500"/>
        <filter val="18000"/>
        <filter val="2000"/>
        <filter val="20000"/>
        <filter val="2500"/>
        <filter val="30000"/>
        <filter val="3500"/>
        <filter val="4000"/>
        <filter val="4500"/>
        <filter val="500"/>
        <filter val="5000"/>
        <filter val="6000"/>
        <filter val="7000"/>
        <filter val="8000"/>
        <filter val="9000"/>
        <filter val="Balance Amount"/>
      </filters>
    </filterColumn>
  </autoFilter>
  <conditionalFormatting sqref="H3:AW90">
    <cfRule type="cellIs" dxfId="53" priority="59" operator="equal">
      <formula>0</formula>
    </cfRule>
  </conditionalFormatting>
  <conditionalFormatting sqref="V119:AD133 V132:AE137">
    <cfRule type="cellIs" dxfId="52" priority="58" operator="equal">
      <formula>0</formula>
    </cfRule>
  </conditionalFormatting>
  <conditionalFormatting sqref="V138:AG141">
    <cfRule type="cellIs" dxfId="51" priority="57" operator="equal">
      <formula>0</formula>
    </cfRule>
  </conditionalFormatting>
  <conditionalFormatting sqref="V144:AJ145">
    <cfRule type="cellIs" dxfId="50" priority="55" operator="equal">
      <formula>0</formula>
    </cfRule>
  </conditionalFormatting>
  <conditionalFormatting sqref="AD146:AK146">
    <cfRule type="cellIs" dxfId="49" priority="53" operator="equal">
      <formula>0</formula>
    </cfRule>
  </conditionalFormatting>
  <conditionalFormatting sqref="AD147:AL153">
    <cfRule type="cellIs" dxfId="48" priority="52" operator="equal">
      <formula>0</formula>
    </cfRule>
  </conditionalFormatting>
  <conditionalFormatting sqref="AD154:AP156">
    <cfRule type="cellIs" dxfId="47" priority="50" operator="equal">
      <formula>0</formula>
    </cfRule>
  </conditionalFormatting>
  <conditionalFormatting sqref="AH140:AI141">
    <cfRule type="cellIs" dxfId="46" priority="56" operator="equal">
      <formula>0</formula>
    </cfRule>
  </conditionalFormatting>
  <conditionalFormatting sqref="AL157:AR195">
    <cfRule type="cellIs" dxfId="45" priority="49" operator="equal">
      <formula>0</formula>
    </cfRule>
  </conditionalFormatting>
  <conditionalFormatting sqref="AL196:AT199">
    <cfRule type="cellIs" dxfId="44" priority="48" operator="equal">
      <formula>0</formula>
    </cfRule>
  </conditionalFormatting>
  <conditionalFormatting sqref="AL200:AU201">
    <cfRule type="cellIs" dxfId="43" priority="46" operator="equal">
      <formula>0</formula>
    </cfRule>
  </conditionalFormatting>
  <conditionalFormatting sqref="AL202:AV206">
    <cfRule type="cellIs" dxfId="42" priority="45" operator="equal">
      <formula>0</formula>
    </cfRule>
  </conditionalFormatting>
  <conditionalFormatting sqref="AL207:AX208">
    <cfRule type="cellIs" dxfId="41" priority="44" operator="equal">
      <formula>0</formula>
    </cfRule>
  </conditionalFormatting>
  <conditionalFormatting sqref="AL209:AY209">
    <cfRule type="cellIs" dxfId="40" priority="43" operator="equal">
      <formula>0</formula>
    </cfRule>
  </conditionalFormatting>
  <conditionalFormatting sqref="AL210:AZ211">
    <cfRule type="cellIs" dxfId="39" priority="42" operator="equal">
      <formula>0</formula>
    </cfRule>
  </conditionalFormatting>
  <conditionalFormatting sqref="AL212:BA212">
    <cfRule type="cellIs" dxfId="38" priority="41" operator="equal">
      <formula>0</formula>
    </cfRule>
  </conditionalFormatting>
  <conditionalFormatting sqref="AM152:AO153">
    <cfRule type="cellIs" dxfId="37" priority="51" operator="equal">
      <formula>0</formula>
    </cfRule>
  </conditionalFormatting>
  <conditionalFormatting sqref="AS195">
    <cfRule type="cellIs" dxfId="36" priority="47" operator="equal">
      <formula>0</formula>
    </cfRule>
  </conditionalFormatting>
  <conditionalFormatting sqref="AW213:BB215">
    <cfRule type="cellIs" dxfId="35" priority="40" operator="equal">
      <formula>0</formula>
    </cfRule>
  </conditionalFormatting>
  <conditionalFormatting sqref="AW216:BC218">
    <cfRule type="cellIs" dxfId="34" priority="39" operator="equal">
      <formula>0</formula>
    </cfRule>
  </conditionalFormatting>
  <conditionalFormatting sqref="AW219:BD219">
    <cfRule type="cellIs" dxfId="33" priority="38" operator="equal">
      <formula>0</formula>
    </cfRule>
  </conditionalFormatting>
  <conditionalFormatting sqref="AW220:BE221">
    <cfRule type="cellIs" dxfId="32" priority="37" operator="equal">
      <formula>0</formula>
    </cfRule>
  </conditionalFormatting>
  <conditionalFormatting sqref="AW222:BF224">
    <cfRule type="cellIs" dxfId="31" priority="36" operator="equal">
      <formula>0</formula>
    </cfRule>
  </conditionalFormatting>
  <conditionalFormatting sqref="AW225:BG225 AW226:BH226">
    <cfRule type="cellIs" dxfId="30" priority="34" operator="equal">
      <formula>0</formula>
    </cfRule>
  </conditionalFormatting>
  <conditionalFormatting sqref="AW227:BI228">
    <cfRule type="cellIs" dxfId="29" priority="33" operator="equal">
      <formula>0</formula>
    </cfRule>
  </conditionalFormatting>
  <conditionalFormatting sqref="BE229:BK230">
    <cfRule type="cellIs" dxfId="28" priority="30" operator="equal">
      <formula>0</formula>
    </cfRule>
  </conditionalFormatting>
  <conditionalFormatting sqref="BE231:BM232">
    <cfRule type="cellIs" dxfId="27" priority="29" operator="equal">
      <formula>0</formula>
    </cfRule>
  </conditionalFormatting>
  <conditionalFormatting sqref="BE233:BN237">
    <cfRule type="cellIs" dxfId="26" priority="28" operator="equal">
      <formula>0</formula>
    </cfRule>
  </conditionalFormatting>
  <conditionalFormatting sqref="BE238:BO239">
    <cfRule type="cellIs" dxfId="25" priority="27" operator="equal">
      <formula>0</formula>
    </cfRule>
  </conditionalFormatting>
  <conditionalFormatting sqref="BG224">
    <cfRule type="cellIs" dxfId="24" priority="35" operator="equal">
      <formula>0</formula>
    </cfRule>
  </conditionalFormatting>
  <conditionalFormatting sqref="BJ228">
    <cfRule type="cellIs" dxfId="23" priority="32" operator="equal">
      <formula>0</formula>
    </cfRule>
  </conditionalFormatting>
  <conditionalFormatting sqref="BN240:BQ242">
    <cfRule type="cellIs" dxfId="22" priority="25" operator="equal">
      <formula>0</formula>
    </cfRule>
  </conditionalFormatting>
  <conditionalFormatting sqref="BN243:BR244">
    <cfRule type="cellIs" dxfId="21" priority="24" operator="equal">
      <formula>0</formula>
    </cfRule>
  </conditionalFormatting>
  <conditionalFormatting sqref="BN245:BS245">
    <cfRule type="cellIs" dxfId="20" priority="23" operator="equal">
      <formula>0</formula>
    </cfRule>
  </conditionalFormatting>
  <conditionalFormatting sqref="BN246:BT248">
    <cfRule type="cellIs" dxfId="19" priority="22" operator="equal">
      <formula>0</formula>
    </cfRule>
  </conditionalFormatting>
  <conditionalFormatting sqref="BN249:BU249 BN250:BV250">
    <cfRule type="cellIs" dxfId="18" priority="21" operator="equal">
      <formula>0</formula>
    </cfRule>
  </conditionalFormatting>
  <conditionalFormatting sqref="BN251:BW252">
    <cfRule type="cellIs" dxfId="17" priority="20" operator="equal">
      <formula>0</formula>
    </cfRule>
  </conditionalFormatting>
  <conditionalFormatting sqref="BN253:BX254">
    <cfRule type="cellIs" dxfId="16" priority="19" operator="equal">
      <formula>0</formula>
    </cfRule>
  </conditionalFormatting>
  <conditionalFormatting sqref="BN255:BY256">
    <cfRule type="cellIs" dxfId="15" priority="18" operator="equal">
      <formula>0</formula>
    </cfRule>
  </conditionalFormatting>
  <conditionalFormatting sqref="BN257:BZ258">
    <cfRule type="cellIs" dxfId="14" priority="17" operator="equal">
      <formula>0</formula>
    </cfRule>
  </conditionalFormatting>
  <conditionalFormatting sqref="BP239">
    <cfRule type="cellIs" dxfId="13" priority="26" operator="equal">
      <formula>0</formula>
    </cfRule>
  </conditionalFormatting>
  <conditionalFormatting sqref="BY259:BZ259">
    <cfRule type="cellIs" dxfId="12" priority="15" operator="equal">
      <formula>0</formula>
    </cfRule>
  </conditionalFormatting>
  <conditionalFormatting sqref="BY260:CA261">
    <cfRule type="cellIs" dxfId="11" priority="16" operator="equal">
      <formula>0</formula>
    </cfRule>
  </conditionalFormatting>
  <conditionalFormatting sqref="BY262:CB265">
    <cfRule type="cellIs" dxfId="10" priority="14" operator="equal">
      <formula>0</formula>
    </cfRule>
  </conditionalFormatting>
  <conditionalFormatting sqref="BY266:CC269 BY270:CD271">
    <cfRule type="cellIs" dxfId="9" priority="13" operator="equal">
      <formula>0</formula>
    </cfRule>
  </conditionalFormatting>
  <conditionalFormatting sqref="BY272:CE272">
    <cfRule type="cellIs" dxfId="8" priority="11" operator="equal">
      <formula>0</formula>
    </cfRule>
  </conditionalFormatting>
  <conditionalFormatting sqref="BY273:CF277">
    <cfRule type="cellIs" dxfId="7" priority="10" operator="equal">
      <formula>0</formula>
    </cfRule>
  </conditionalFormatting>
  <conditionalFormatting sqref="BY286:CG286">
    <cfRule type="cellIs" dxfId="6" priority="9" operator="equal">
      <formula>0</formula>
    </cfRule>
  </conditionalFormatting>
  <conditionalFormatting sqref="BY291:CI293">
    <cfRule type="cellIs" dxfId="5" priority="7" operator="equal">
      <formula>0</formula>
    </cfRule>
  </conditionalFormatting>
  <conditionalFormatting sqref="BY300:CI300">
    <cfRule type="cellIs" dxfId="4" priority="6" operator="equal">
      <formula>0</formula>
    </cfRule>
  </conditionalFormatting>
  <conditionalFormatting sqref="CH303:CJ319">
    <cfRule type="cellIs" dxfId="3" priority="4" operator="equal">
      <formula>0</formula>
    </cfRule>
  </conditionalFormatting>
  <conditionalFormatting sqref="CH320:CK320 CH321:CL322">
    <cfRule type="cellIs" dxfId="2" priority="3" operator="equal">
      <formula>0</formula>
    </cfRule>
  </conditionalFormatting>
  <conditionalFormatting sqref="CH333:CL334">
    <cfRule type="cellIs" dxfId="1" priority="2" operator="equal">
      <formula>0</formula>
    </cfRule>
  </conditionalFormatting>
  <conditionalFormatting sqref="CH337:CM338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Finance </vt:lpstr>
      <vt:lpstr>Vaadi List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KUMAR</dc:creator>
  <cp:lastModifiedBy>SANTHOSH KUMAR</cp:lastModifiedBy>
  <dcterms:created xsi:type="dcterms:W3CDTF">2024-02-06T16:23:52Z</dcterms:created>
  <dcterms:modified xsi:type="dcterms:W3CDTF">2025-11-11T18:48:48Z</dcterms:modified>
</cp:coreProperties>
</file>